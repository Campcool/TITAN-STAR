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機種清冊" sheetId="1" r:id="rId1"/>
    <sheet name="維修記錄" sheetId="2" r:id="rId2"/>
    <sheet name="本月彙總" sheetId="3" r:id="rId3"/>
    <sheet name="料號對照" sheetId="4" r:id="rId4"/>
    <sheet name="系品彙總" sheetId="5" r:id="rId5"/>
    <sheet name="說明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42"/>
  <sheetViews>
    <sheetView workbookViewId="0"/>
  </sheetViews>
  <cols>
    <col min="1" max="1" width="14.83203125" customWidth="1"/>
    <col min="2" max="2" width="20.83203125" customWidth="1"/>
    <col min="3" max="3" width="30.83203125" customWidth="1"/>
  </cols>
  <sheetData>
    <row r="1">
      <c r="A1" t="str">
        <v>【機種清冊】系統下拉選單來源 — 可隨時在各大類下方新增品號</v>
      </c>
      <c r="B1" t="str">
        <v/>
      </c>
    </row>
    <row r="2">
      <c r="A2" t="str">
        <v>大類</v>
      </c>
      <c r="B2" t="str">
        <v>品號（器材品號）</v>
      </c>
      <c r="C2" t="str">
        <v>備註（可填機種名稱、型號說明）</v>
      </c>
    </row>
    <row r="3">
      <c r="A3" t="str">
        <v>── 監視器 ──</v>
      </c>
      <c r="B3" t="str">
        <v/>
      </c>
    </row>
    <row r="4">
      <c r="A4" t="str">
        <v>監視器</v>
      </c>
      <c r="B4" t="str">
        <v>ADR3A08</v>
      </c>
      <c r="C4" t="str">
        <v/>
      </c>
    </row>
    <row r="5">
      <c r="A5" t="str">
        <v>監視器</v>
      </c>
      <c r="B5" t="str">
        <v>ADR3A16</v>
      </c>
      <c r="C5" t="str">
        <v/>
      </c>
    </row>
    <row r="6">
      <c r="A6" t="str">
        <v>監視器</v>
      </c>
      <c r="B6" t="str">
        <v>AH13A36</v>
      </c>
      <c r="C6" t="str">
        <v/>
      </c>
    </row>
    <row r="7">
      <c r="A7" t="str">
        <v>監視器</v>
      </c>
      <c r="B7" t="str">
        <v>AH13B3Z</v>
      </c>
      <c r="C7" t="str">
        <v/>
      </c>
    </row>
    <row r="8">
      <c r="A8" t="str">
        <v>監視器</v>
      </c>
      <c r="B8" t="str">
        <v>AH13C36</v>
      </c>
      <c r="C8" t="str">
        <v/>
      </c>
    </row>
    <row r="9">
      <c r="A9" t="str">
        <v>監視器</v>
      </c>
      <c r="B9" t="str">
        <v>AH43B3Z</v>
      </c>
      <c r="C9" t="str">
        <v/>
      </c>
    </row>
    <row r="10">
      <c r="A10" t="str">
        <v>監視器</v>
      </c>
      <c r="B10" t="str">
        <v>AH83A28</v>
      </c>
      <c r="C10" t="str">
        <v/>
      </c>
    </row>
    <row r="11">
      <c r="A11" t="str">
        <v>監視器</v>
      </c>
      <c r="B11" t="str">
        <v>AH83B3Z</v>
      </c>
      <c r="C11" t="str">
        <v/>
      </c>
    </row>
    <row r="12">
      <c r="A12" t="str">
        <v>監視器</v>
      </c>
      <c r="B12" t="str">
        <v>AH83D28</v>
      </c>
      <c r="C12" t="str">
        <v/>
      </c>
    </row>
    <row r="13">
      <c r="A13" t="str">
        <v>監視器</v>
      </c>
      <c r="B13" t="str">
        <v>AH83D3Z</v>
      </c>
      <c r="C13" t="str">
        <v/>
      </c>
    </row>
    <row r="14">
      <c r="A14" t="str">
        <v>監視器</v>
      </c>
      <c r="B14" t="str">
        <v>APCB</v>
      </c>
      <c r="C14" t="str">
        <v/>
      </c>
    </row>
    <row r="15">
      <c r="A15" t="str">
        <v>監視器</v>
      </c>
      <c r="B15" t="str">
        <v>AW53B3Z</v>
      </c>
      <c r="C15" t="str">
        <v/>
      </c>
    </row>
    <row r="16">
      <c r="A16" t="str">
        <v>監視器</v>
      </c>
      <c r="B16" t="str">
        <v>HU316PE</v>
      </c>
      <c r="C16" t="str">
        <v/>
      </c>
    </row>
    <row r="17">
      <c r="A17" t="str">
        <v>監視器</v>
      </c>
      <c r="B17" t="str">
        <v>HU382PE</v>
      </c>
      <c r="C17" t="str">
        <v/>
      </c>
    </row>
    <row r="18">
      <c r="A18" t="str">
        <v>監視器</v>
      </c>
      <c r="B18" t="str">
        <v>IP43A3Z</v>
      </c>
      <c r="C18" t="str">
        <v/>
      </c>
    </row>
    <row r="19">
      <c r="A19" t="str">
        <v>監視器</v>
      </c>
      <c r="B19" t="str">
        <v>IP43B3Z</v>
      </c>
      <c r="C19" t="str">
        <v/>
      </c>
    </row>
    <row r="20">
      <c r="A20" t="str">
        <v>監視器</v>
      </c>
      <c r="B20" t="str">
        <v>IP43C28</v>
      </c>
      <c r="C20" t="str">
        <v/>
      </c>
    </row>
    <row r="21">
      <c r="A21" t="str">
        <v>監視器</v>
      </c>
      <c r="B21" t="str">
        <v>IP43D28</v>
      </c>
      <c r="C21" t="str">
        <v/>
      </c>
    </row>
    <row r="22">
      <c r="A22" t="str">
        <v>監視器</v>
      </c>
      <c r="B22" t="str">
        <v>IP43L08</v>
      </c>
      <c r="C22" t="str">
        <v/>
      </c>
    </row>
    <row r="23">
      <c r="A23" t="str">
        <v>監視器</v>
      </c>
      <c r="B23" t="str">
        <v>IP53C21</v>
      </c>
      <c r="C23" t="str">
        <v/>
      </c>
    </row>
    <row r="24">
      <c r="A24" t="str">
        <v>監視器</v>
      </c>
      <c r="B24" t="str">
        <v>IP83B3Z</v>
      </c>
      <c r="C24" t="str">
        <v/>
      </c>
    </row>
    <row r="25">
      <c r="A25" t="str">
        <v>監視器</v>
      </c>
      <c r="B25" t="str">
        <v>IPC3A36</v>
      </c>
      <c r="C25" t="str">
        <v/>
      </c>
    </row>
    <row r="26">
      <c r="A26" t="str">
        <v>監視器</v>
      </c>
      <c r="B26" t="str">
        <v>IPC3A3Z</v>
      </c>
      <c r="C26" t="str">
        <v/>
      </c>
    </row>
    <row r="27">
      <c r="A27" t="str">
        <v>監視器</v>
      </c>
      <c r="B27" t="str">
        <v>IPC3S2W</v>
      </c>
      <c r="C27" t="str">
        <v/>
      </c>
    </row>
    <row r="28">
      <c r="A28" t="str">
        <v>監視器</v>
      </c>
      <c r="B28" t="str">
        <v>IPD3F16</v>
      </c>
      <c r="C28" t="str">
        <v/>
      </c>
    </row>
    <row r="29">
      <c r="A29" t="str">
        <v>監視器</v>
      </c>
      <c r="B29" t="str">
        <v>LPR3B32</v>
      </c>
      <c r="C29" t="str">
        <v/>
      </c>
    </row>
    <row r="30">
      <c r="A30" t="str">
        <v>監視器</v>
      </c>
      <c r="B30" t="str">
        <v>LPR3B3Z</v>
      </c>
      <c r="C30" t="str">
        <v/>
      </c>
    </row>
    <row r="31">
      <c r="A31" t="str">
        <v>監視器</v>
      </c>
      <c r="B31" t="str">
        <v>NVR3F08</v>
      </c>
      <c r="C31" t="str">
        <v/>
      </c>
    </row>
    <row r="32">
      <c r="A32" t="str">
        <v>監視器</v>
      </c>
      <c r="B32" t="str">
        <v>NVR3G16</v>
      </c>
      <c r="C32" t="str">
        <v/>
      </c>
    </row>
    <row r="33">
      <c r="A33" t="str">
        <v>監視器</v>
      </c>
      <c r="B33" t="str">
        <v>NVR3G32</v>
      </c>
      <c r="C33" t="str">
        <v/>
      </c>
    </row>
    <row r="34">
      <c r="A34" t="str">
        <v>監視器</v>
      </c>
      <c r="B34" t="str">
        <v>NVR3H16</v>
      </c>
      <c r="C34" t="str">
        <v/>
      </c>
    </row>
    <row r="35">
      <c r="A35" t="str">
        <v>監視器</v>
      </c>
      <c r="B35" t="str">
        <v>NVR3I08</v>
      </c>
      <c r="C35" t="str">
        <v/>
      </c>
    </row>
    <row r="36">
      <c r="A36" t="str">
        <v>監視器</v>
      </c>
      <c r="B36" t="str">
        <v>POEEXP1</v>
      </c>
      <c r="C36" t="str">
        <v/>
      </c>
    </row>
    <row r="37">
      <c r="A37" t="str">
        <v>監視器</v>
      </c>
      <c r="B37" t="str">
        <v>TDB633A</v>
      </c>
      <c r="C37" t="str">
        <v/>
      </c>
    </row>
    <row r="38">
      <c r="A38" t="str">
        <v>監視器</v>
      </c>
      <c r="B38" t="str">
        <v>VD43A16</v>
      </c>
      <c r="C38" t="str">
        <v/>
      </c>
    </row>
    <row r="39">
      <c r="A39" t="str">
        <v>監視器</v>
      </c>
      <c r="B39" t="str">
        <v>← 在此輸入新品號（監視器）</v>
      </c>
      <c r="C39" t="str">
        <v/>
      </c>
    </row>
    <row r="40">
      <c r="A40" t="str">
        <v>監視器</v>
      </c>
      <c r="B40" t="str">
        <v>← 在此輸入新品號（監視器）</v>
      </c>
      <c r="C40" t="str">
        <v/>
      </c>
    </row>
    <row r="41">
      <c r="A41" t="str">
        <v>監視器</v>
      </c>
      <c r="B41" t="str">
        <v>← 在此輸入新品號（監視器）</v>
      </c>
      <c r="C41" t="str">
        <v/>
      </c>
    </row>
    <row r="42">
      <c r="A42" t="str">
        <v>監視器</v>
      </c>
      <c r="B42" t="str">
        <v>← 在此輸入新品號（監視器）</v>
      </c>
      <c r="C42" t="str">
        <v/>
      </c>
    </row>
    <row r="43">
      <c r="A43" t="str">
        <v>監視器</v>
      </c>
      <c r="B43" t="str">
        <v>← 在此輸入新品號（監視器）</v>
      </c>
      <c r="C43" t="str">
        <v/>
      </c>
    </row>
    <row r="44">
      <c r="A44" t="str">
        <v>監視器</v>
      </c>
      <c r="B44" t="str">
        <v>← 在此輸入新品號（監視器）</v>
      </c>
      <c r="C44" t="str">
        <v/>
      </c>
    </row>
    <row r="45">
      <c r="A45" t="str">
        <v>監視器</v>
      </c>
      <c r="B45" t="str">
        <v>← 在此輸入新品號（監視器）</v>
      </c>
      <c r="C45" t="str">
        <v/>
      </c>
    </row>
    <row r="46">
      <c r="A46" t="str">
        <v>監視器</v>
      </c>
      <c r="B46" t="str">
        <v>← 在此輸入新品號（監視器）</v>
      </c>
      <c r="C46" t="str">
        <v/>
      </c>
    </row>
    <row r="47">
      <c r="A47" t="str">
        <v>監視器</v>
      </c>
      <c r="B47" t="str">
        <v>← 在此輸入新品號（監視器）</v>
      </c>
      <c r="C47" t="str">
        <v/>
      </c>
    </row>
    <row r="48">
      <c r="A48" t="str">
        <v>監視器</v>
      </c>
      <c r="B48" t="str">
        <v>← 在此輸入新品號（監視器）</v>
      </c>
      <c r="C48" t="str">
        <v/>
      </c>
    </row>
    <row r="49">
      <c r="A49" t="str">
        <v>── 傳統保全 ──</v>
      </c>
      <c r="B49" t="str">
        <v/>
      </c>
    </row>
    <row r="50">
      <c r="A50" t="str">
        <v>傳統保全</v>
      </c>
      <c r="B50" t="str">
        <v>CDRT010</v>
      </c>
      <c r="C50" t="str">
        <v/>
      </c>
    </row>
    <row r="51">
      <c r="A51" t="str">
        <v>傳統保全</v>
      </c>
      <c r="B51" t="str">
        <v>CDRT030</v>
      </c>
      <c r="C51" t="str">
        <v/>
      </c>
    </row>
    <row r="52">
      <c r="A52" t="str">
        <v>傳統保全</v>
      </c>
      <c r="B52" t="str">
        <v>CDRT080</v>
      </c>
      <c r="C52" t="str">
        <v/>
      </c>
    </row>
    <row r="53">
      <c r="A53" t="str">
        <v>傳統保全</v>
      </c>
      <c r="B53" t="str">
        <v>CRS0020</v>
      </c>
      <c r="C53" t="str">
        <v/>
      </c>
    </row>
    <row r="54">
      <c r="A54" t="str">
        <v>傳統保全</v>
      </c>
      <c r="B54" t="str">
        <v>CTM0051</v>
      </c>
      <c r="C54" t="str">
        <v/>
      </c>
    </row>
    <row r="55">
      <c r="A55" t="str">
        <v>傳統保全</v>
      </c>
      <c r="B55" t="str">
        <v>CTMS020</v>
      </c>
      <c r="C55" t="str">
        <v/>
      </c>
    </row>
    <row r="56">
      <c r="A56" t="str">
        <v>傳統保全</v>
      </c>
      <c r="B56" t="str">
        <v>CTO0010</v>
      </c>
      <c r="C56" t="str">
        <v/>
      </c>
    </row>
    <row r="57">
      <c r="A57" t="str">
        <v>傳統保全</v>
      </c>
      <c r="B57" t="str">
        <v>CTO0020</v>
      </c>
      <c r="C57" t="str">
        <v/>
      </c>
    </row>
    <row r="58">
      <c r="A58" t="str">
        <v>傳統保全</v>
      </c>
      <c r="B58" t="str">
        <v>CTO0030</v>
      </c>
      <c r="C58" t="str">
        <v/>
      </c>
    </row>
    <row r="59">
      <c r="A59" t="str">
        <v>傳統保全</v>
      </c>
      <c r="B59" t="str">
        <v>EPES010</v>
      </c>
      <c r="C59" t="str">
        <v/>
      </c>
    </row>
    <row r="60">
      <c r="A60" t="str">
        <v>傳統保全</v>
      </c>
      <c r="B60" t="str">
        <v>NTS001A</v>
      </c>
      <c r="C60" t="str">
        <v/>
      </c>
    </row>
    <row r="61">
      <c r="A61" t="str">
        <v>傳統保全</v>
      </c>
      <c r="B61" t="str">
        <v>NTS0060</v>
      </c>
      <c r="C61" t="str">
        <v/>
      </c>
    </row>
    <row r="62">
      <c r="A62" t="str">
        <v>傳統保全</v>
      </c>
      <c r="B62" t="str">
        <v>OPI3010</v>
      </c>
      <c r="C62" t="str">
        <v/>
      </c>
    </row>
    <row r="63">
      <c r="A63" t="str">
        <v>傳統保全</v>
      </c>
      <c r="B63" t="str">
        <v>OPT0030</v>
      </c>
      <c r="C63" t="str">
        <v/>
      </c>
    </row>
    <row r="64">
      <c r="A64" t="str">
        <v>傳統保全</v>
      </c>
      <c r="B64" t="str">
        <v>PCAS600</v>
      </c>
      <c r="C64" t="str">
        <v/>
      </c>
    </row>
    <row r="65">
      <c r="A65" t="str">
        <v>傳統保全</v>
      </c>
      <c r="B65" t="str">
        <v>RFSD020</v>
      </c>
      <c r="C65" t="str">
        <v/>
      </c>
    </row>
    <row r="66">
      <c r="A66" t="str">
        <v>傳統保全</v>
      </c>
      <c r="B66" t="str">
        <v>SCA0020</v>
      </c>
      <c r="C66" t="str">
        <v/>
      </c>
    </row>
    <row r="67">
      <c r="A67" t="str">
        <v>傳統保全</v>
      </c>
      <c r="B67" t="str">
        <v>SCL0020</v>
      </c>
      <c r="C67" t="str">
        <v/>
      </c>
    </row>
    <row r="68">
      <c r="A68" t="str">
        <v>傳統保全</v>
      </c>
      <c r="B68" t="str">
        <v>SCX0050</v>
      </c>
      <c r="C68" t="str">
        <v/>
      </c>
    </row>
    <row r="69">
      <c r="A69" t="str">
        <v>傳統保全</v>
      </c>
      <c r="B69" t="str">
        <v>SCX0051</v>
      </c>
      <c r="C69" t="str">
        <v/>
      </c>
    </row>
    <row r="70">
      <c r="A70" t="str">
        <v>傳統保全</v>
      </c>
      <c r="B70" t="str">
        <v>SCX051A</v>
      </c>
      <c r="C70" t="str">
        <v/>
      </c>
    </row>
    <row r="71">
      <c r="A71" t="str">
        <v>傳統保全</v>
      </c>
      <c r="B71" t="str">
        <v>SHT0071</v>
      </c>
      <c r="C71" t="str">
        <v/>
      </c>
    </row>
    <row r="72">
      <c r="A72" t="str">
        <v>傳統保全</v>
      </c>
      <c r="B72" t="str">
        <v>SHT0072</v>
      </c>
      <c r="C72" t="str">
        <v/>
      </c>
    </row>
    <row r="73">
      <c r="A73" t="str">
        <v>傳統保全</v>
      </c>
      <c r="B73" t="str">
        <v>SHT0081</v>
      </c>
      <c r="C73" t="str">
        <v/>
      </c>
    </row>
    <row r="74">
      <c r="A74" t="str">
        <v>傳統保全</v>
      </c>
      <c r="B74" t="str">
        <v>SPC0010</v>
      </c>
      <c r="C74" t="str">
        <v/>
      </c>
    </row>
    <row r="75">
      <c r="A75" t="str">
        <v>傳統保全</v>
      </c>
      <c r="B75" t="str">
        <v>SPK009B</v>
      </c>
      <c r="C75" t="str">
        <v/>
      </c>
    </row>
    <row r="76">
      <c r="A76" t="str">
        <v>傳統保全</v>
      </c>
      <c r="B76" t="str">
        <v>SPK011A</v>
      </c>
      <c r="C76" t="str">
        <v/>
      </c>
    </row>
    <row r="77">
      <c r="A77" t="str">
        <v>傳統保全</v>
      </c>
      <c r="B77" t="str">
        <v>SPM0051</v>
      </c>
      <c r="C77" t="str">
        <v/>
      </c>
    </row>
    <row r="78">
      <c r="A78" t="str">
        <v>傳統保全</v>
      </c>
      <c r="B78" t="str">
        <v>SPM0171</v>
      </c>
      <c r="C78" t="str">
        <v/>
      </c>
    </row>
    <row r="79">
      <c r="A79" t="str">
        <v>傳統保全</v>
      </c>
      <c r="B79" t="str">
        <v>SVAT500</v>
      </c>
      <c r="C79" t="str">
        <v/>
      </c>
    </row>
    <row r="80">
      <c r="A80" t="str">
        <v>傳統保全</v>
      </c>
      <c r="B80" t="str">
        <v>TCNT010</v>
      </c>
      <c r="C80" t="str">
        <v/>
      </c>
    </row>
    <row r="81">
      <c r="A81" t="str">
        <v>傳統保全</v>
      </c>
      <c r="B81" t="str">
        <v>TCNT030</v>
      </c>
      <c r="C81" t="str">
        <v/>
      </c>
    </row>
    <row r="82">
      <c r="A82" t="str">
        <v>傳統保全</v>
      </c>
      <c r="B82" t="str">
        <v>TCNT03D</v>
      </c>
      <c r="C82" t="str">
        <v/>
      </c>
    </row>
    <row r="83">
      <c r="A83" t="str">
        <v>傳統保全</v>
      </c>
      <c r="B83" t="str">
        <v>TFM0020</v>
      </c>
      <c r="C83" t="str">
        <v/>
      </c>
    </row>
    <row r="84">
      <c r="A84" t="str">
        <v>傳統保全</v>
      </c>
      <c r="B84" t="str">
        <v>THS0010</v>
      </c>
      <c r="C84" t="str">
        <v/>
      </c>
    </row>
    <row r="85">
      <c r="A85" t="str">
        <v>傳統保全</v>
      </c>
      <c r="B85" t="str">
        <v>THS001A</v>
      </c>
      <c r="C85" t="str">
        <v/>
      </c>
    </row>
    <row r="86">
      <c r="A86" t="str">
        <v>傳統保全</v>
      </c>
      <c r="B86" t="str">
        <v>THS0020</v>
      </c>
      <c r="C86" t="str">
        <v/>
      </c>
    </row>
    <row r="87">
      <c r="A87" t="str">
        <v>傳統保全</v>
      </c>
      <c r="B87" t="str">
        <v>THS0030</v>
      </c>
      <c r="C87" t="str">
        <v/>
      </c>
    </row>
    <row r="88">
      <c r="A88" t="str">
        <v>傳統保全</v>
      </c>
      <c r="B88" t="str">
        <v>THSM010</v>
      </c>
      <c r="C88" t="str">
        <v/>
      </c>
    </row>
    <row r="89">
      <c r="A89" t="str">
        <v>傳統保全</v>
      </c>
      <c r="B89" t="str">
        <v>TLED010</v>
      </c>
      <c r="C89" t="str">
        <v/>
      </c>
    </row>
    <row r="90">
      <c r="A90" t="str">
        <v>傳統保全</v>
      </c>
      <c r="B90" t="str">
        <v>TPAD050</v>
      </c>
      <c r="C90" t="str">
        <v/>
      </c>
    </row>
    <row r="91">
      <c r="A91" t="str">
        <v>傳統保全</v>
      </c>
      <c r="B91" t="str">
        <v>TPW0010</v>
      </c>
      <c r="C91" t="str">
        <v/>
      </c>
    </row>
    <row r="92">
      <c r="A92" t="str">
        <v>傳統保全</v>
      </c>
      <c r="B92" t="str">
        <v>TPW0050</v>
      </c>
      <c r="C92" t="str">
        <v/>
      </c>
    </row>
    <row r="93">
      <c r="A93" t="str">
        <v>傳統保全</v>
      </c>
      <c r="B93" t="str">
        <v>TSM0030</v>
      </c>
      <c r="C93" t="str">
        <v/>
      </c>
    </row>
    <row r="94">
      <c r="A94" t="str">
        <v>傳統保全</v>
      </c>
      <c r="B94" t="str">
        <v>VTS0010</v>
      </c>
      <c r="C94" t="str">
        <v/>
      </c>
    </row>
    <row r="95">
      <c r="A95" t="str">
        <v>傳統保全</v>
      </c>
      <c r="B95" t="str">
        <v>XRCS-S1</v>
      </c>
      <c r="C95" t="str">
        <v/>
      </c>
    </row>
    <row r="96">
      <c r="A96" t="str">
        <v>傳統保全</v>
      </c>
      <c r="B96" t="str">
        <v>← 在此輸入新品號（傳統保全）</v>
      </c>
      <c r="C96" t="str">
        <v/>
      </c>
    </row>
    <row r="97">
      <c r="A97" t="str">
        <v>傳統保全</v>
      </c>
      <c r="B97" t="str">
        <v>← 在此輸入新品號（傳統保全）</v>
      </c>
      <c r="C97" t="str">
        <v/>
      </c>
    </row>
    <row r="98">
      <c r="A98" t="str">
        <v>傳統保全</v>
      </c>
      <c r="B98" t="str">
        <v>← 在此輸入新品號（傳統保全）</v>
      </c>
      <c r="C98" t="str">
        <v/>
      </c>
    </row>
    <row r="99">
      <c r="A99" t="str">
        <v>傳統保全</v>
      </c>
      <c r="B99" t="str">
        <v>← 在此輸入新品號（傳統保全）</v>
      </c>
      <c r="C99" t="str">
        <v/>
      </c>
    </row>
    <row r="100">
      <c r="A100" t="str">
        <v>傳統保全</v>
      </c>
      <c r="B100" t="str">
        <v>← 在此輸入新品號（傳統保全）</v>
      </c>
      <c r="C100" t="str">
        <v/>
      </c>
    </row>
    <row r="101">
      <c r="A101" t="str">
        <v>傳統保全</v>
      </c>
      <c r="B101" t="str">
        <v>← 在此輸入新品號（傳統保全）</v>
      </c>
      <c r="C101" t="str">
        <v/>
      </c>
    </row>
    <row r="102">
      <c r="A102" t="str">
        <v>傳統保全</v>
      </c>
      <c r="B102" t="str">
        <v>← 在此輸入新品號（傳統保全）</v>
      </c>
      <c r="C102" t="str">
        <v/>
      </c>
    </row>
    <row r="103">
      <c r="A103" t="str">
        <v>傳統保全</v>
      </c>
      <c r="B103" t="str">
        <v>← 在此輸入新品號（傳統保全）</v>
      </c>
      <c r="C103" t="str">
        <v/>
      </c>
    </row>
    <row r="104">
      <c r="A104" t="str">
        <v>傳統保全</v>
      </c>
      <c r="B104" t="str">
        <v>← 在此輸入新品號（傳統保全）</v>
      </c>
      <c r="C104" t="str">
        <v/>
      </c>
    </row>
    <row r="105">
      <c r="A105" t="str">
        <v>傳統保全</v>
      </c>
      <c r="B105" t="str">
        <v>← 在此輸入新品號（傳統保全）</v>
      </c>
      <c r="C105" t="str">
        <v/>
      </c>
    </row>
    <row r="106">
      <c r="A106" t="str">
        <v>── 無線保全 ──</v>
      </c>
      <c r="B106" t="str">
        <v/>
      </c>
    </row>
    <row r="107">
      <c r="A107" t="str">
        <v>無線保全</v>
      </c>
      <c r="B107" t="str">
        <v>IOT0600</v>
      </c>
      <c r="C107" t="str">
        <v/>
      </c>
    </row>
    <row r="108">
      <c r="A108" t="str">
        <v>無線保全</v>
      </c>
      <c r="B108" t="str">
        <v>IOT0700</v>
      </c>
      <c r="C108" t="str">
        <v/>
      </c>
    </row>
    <row r="109">
      <c r="A109" t="str">
        <v>無線保全</v>
      </c>
      <c r="B109" t="str">
        <v>IOT0800</v>
      </c>
      <c r="C109" t="str">
        <v/>
      </c>
    </row>
    <row r="110">
      <c r="A110" t="str">
        <v>無線保全</v>
      </c>
      <c r="B110" t="str">
        <v>IRL32ZB</v>
      </c>
      <c r="C110" t="str">
        <v/>
      </c>
    </row>
    <row r="111">
      <c r="A111" t="str">
        <v>無線保全</v>
      </c>
      <c r="B111" t="str">
        <v>KDSL7ZB</v>
      </c>
      <c r="C111" t="str">
        <v/>
      </c>
    </row>
    <row r="112">
      <c r="A112" t="str">
        <v>無線保全</v>
      </c>
      <c r="B112" t="str">
        <v>RFAS010</v>
      </c>
      <c r="C112" t="str">
        <v/>
      </c>
    </row>
    <row r="113">
      <c r="A113" t="str">
        <v>無線保全</v>
      </c>
      <c r="B113" t="str">
        <v>RFDIO10</v>
      </c>
      <c r="C113" t="str">
        <v/>
      </c>
    </row>
    <row r="114">
      <c r="A114" t="str">
        <v>無線保全</v>
      </c>
      <c r="B114" t="str">
        <v>RFPIR30</v>
      </c>
      <c r="C114" t="str">
        <v/>
      </c>
    </row>
    <row r="115">
      <c r="A115" t="str">
        <v>無線保全</v>
      </c>
      <c r="B115" t="str">
        <v>RFRT030</v>
      </c>
      <c r="C115" t="str">
        <v/>
      </c>
    </row>
    <row r="116">
      <c r="A116" t="str">
        <v>無線保全</v>
      </c>
      <c r="B116" t="str">
        <v>RFSPC10</v>
      </c>
      <c r="C116" t="str">
        <v/>
      </c>
    </row>
    <row r="117">
      <c r="A117" t="str">
        <v>無線保全</v>
      </c>
      <c r="B117" t="str">
        <v>RFSPM21</v>
      </c>
      <c r="C117" t="str">
        <v/>
      </c>
    </row>
    <row r="118">
      <c r="A118" t="str">
        <v>無線保全</v>
      </c>
      <c r="B118" t="str">
        <v>RFSSL20</v>
      </c>
      <c r="C118" t="str">
        <v/>
      </c>
    </row>
    <row r="119">
      <c r="A119" t="str">
        <v>無線保全</v>
      </c>
      <c r="B119" t="str">
        <v>RFTG030</v>
      </c>
      <c r="C119" t="str">
        <v/>
      </c>
    </row>
    <row r="120">
      <c r="A120" t="str">
        <v>無線保全</v>
      </c>
      <c r="B120" t="str">
        <v>RFTM010</v>
      </c>
      <c r="C120" t="str">
        <v/>
      </c>
    </row>
    <row r="121">
      <c r="A121" t="str">
        <v>無線保全</v>
      </c>
      <c r="B121" t="str">
        <v>RFVX41T</v>
      </c>
      <c r="C121" t="str">
        <v/>
      </c>
    </row>
    <row r="122">
      <c r="A122" t="str">
        <v>無線保全</v>
      </c>
      <c r="B122" t="str">
        <v>RF11940</v>
      </c>
      <c r="C122" t="str">
        <v/>
      </c>
    </row>
    <row r="123">
      <c r="A123" t="str">
        <v>無線保全</v>
      </c>
      <c r="B123" t="str">
        <v>RL320ZB</v>
      </c>
      <c r="C123" t="str">
        <v/>
      </c>
    </row>
    <row r="124">
      <c r="A124" t="str">
        <v>無線保全</v>
      </c>
      <c r="B124" t="str">
        <v>RSPM031</v>
      </c>
      <c r="C124" t="str">
        <v/>
      </c>
    </row>
    <row r="125">
      <c r="A125" t="str">
        <v>無線保全</v>
      </c>
      <c r="B125" t="str">
        <v>RSPMB21</v>
      </c>
      <c r="C125" t="str">
        <v/>
      </c>
    </row>
    <row r="126">
      <c r="A126" t="str">
        <v>無線保全</v>
      </c>
      <c r="B126" t="str">
        <v>TPS0050</v>
      </c>
      <c r="C126" t="str">
        <v/>
      </c>
    </row>
    <row r="127">
      <c r="A127" t="str">
        <v>無線保全</v>
      </c>
      <c r="B127" t="str">
        <v>TPS041A</v>
      </c>
      <c r="C127" t="str">
        <v/>
      </c>
    </row>
    <row r="128">
      <c r="A128" t="str">
        <v>無線保全</v>
      </c>
      <c r="B128" t="str">
        <v>TPSZB41</v>
      </c>
      <c r="C128" t="str">
        <v/>
      </c>
    </row>
    <row r="129">
      <c r="A129" t="str">
        <v>無線保全</v>
      </c>
      <c r="B129" t="str">
        <v>TRANS12</v>
      </c>
      <c r="C129" t="str">
        <v/>
      </c>
    </row>
    <row r="130">
      <c r="A130" t="str">
        <v>無線保全</v>
      </c>
      <c r="B130" t="str">
        <v>XRCSS1</v>
      </c>
      <c r="C130" t="str">
        <v/>
      </c>
    </row>
    <row r="131">
      <c r="A131" t="str">
        <v>無線保全</v>
      </c>
      <c r="B131" t="str">
        <v>ZBACI20</v>
      </c>
      <c r="C131" t="str">
        <v/>
      </c>
    </row>
    <row r="132">
      <c r="A132" t="str">
        <v>無線保全</v>
      </c>
      <c r="B132" t="str">
        <v>ZBDIO80</v>
      </c>
      <c r="C132" t="str">
        <v/>
      </c>
    </row>
    <row r="133">
      <c r="A133" t="str">
        <v>無線保全</v>
      </c>
      <c r="B133" t="str">
        <v>ZBDIO90</v>
      </c>
      <c r="C133" t="str">
        <v/>
      </c>
    </row>
    <row r="134">
      <c r="A134" t="str">
        <v>無線保全</v>
      </c>
      <c r="B134" t="str">
        <v>ZBHD060</v>
      </c>
      <c r="C134" t="str">
        <v/>
      </c>
    </row>
    <row r="135">
      <c r="A135" t="str">
        <v>無線保全</v>
      </c>
      <c r="B135" t="str">
        <v>ZBIRC50</v>
      </c>
      <c r="C135" t="str">
        <v/>
      </c>
    </row>
    <row r="136">
      <c r="A136" t="str">
        <v>無線保全</v>
      </c>
      <c r="B136" t="str">
        <v>ZBIRC5S</v>
      </c>
      <c r="C136" t="str">
        <v/>
      </c>
    </row>
    <row r="137">
      <c r="A137" t="str">
        <v>無線保全</v>
      </c>
      <c r="B137" t="str">
        <v>ZBPIR50</v>
      </c>
      <c r="C137" t="str">
        <v/>
      </c>
    </row>
    <row r="138">
      <c r="A138" t="str">
        <v>無線保全</v>
      </c>
      <c r="B138" t="str">
        <v>ZBPIR5P</v>
      </c>
      <c r="C138" t="str">
        <v/>
      </c>
    </row>
    <row r="139">
      <c r="A139" t="str">
        <v>無線保全</v>
      </c>
      <c r="B139" t="str">
        <v>ZBRT050</v>
      </c>
      <c r="C139" t="str">
        <v/>
      </c>
    </row>
    <row r="140">
      <c r="A140" t="str">
        <v>無線保全</v>
      </c>
      <c r="B140" t="str">
        <v>ZBSD060</v>
      </c>
      <c r="C140" t="str">
        <v/>
      </c>
    </row>
    <row r="141">
      <c r="A141" t="str">
        <v>無線保全</v>
      </c>
      <c r="B141" t="str">
        <v>ZBSPC40</v>
      </c>
      <c r="C141" t="str">
        <v/>
      </c>
    </row>
    <row r="142">
      <c r="A142" t="str">
        <v>無線保全</v>
      </c>
      <c r="B142" t="str">
        <v>ZBSSL30</v>
      </c>
      <c r="C142" t="str">
        <v/>
      </c>
    </row>
    <row r="143">
      <c r="A143" t="str">
        <v>無線保全</v>
      </c>
      <c r="B143" t="str">
        <v>ZBTG030</v>
      </c>
      <c r="C143" t="str">
        <v/>
      </c>
    </row>
    <row r="144">
      <c r="A144" t="str">
        <v>無線保全</v>
      </c>
      <c r="B144" t="str">
        <v>ZBVOS10</v>
      </c>
      <c r="C144" t="str">
        <v/>
      </c>
    </row>
    <row r="145">
      <c r="A145" t="str">
        <v>無線保全</v>
      </c>
      <c r="B145" t="str">
        <v>ZBVX41T</v>
      </c>
      <c r="C145" t="str">
        <v/>
      </c>
    </row>
    <row r="146">
      <c r="A146" t="str">
        <v>無線保全</v>
      </c>
      <c r="B146" t="str">
        <v>ZBWD199</v>
      </c>
      <c r="C146" t="str">
        <v/>
      </c>
    </row>
    <row r="147">
      <c r="A147" t="str">
        <v>無線保全</v>
      </c>
      <c r="B147" t="str">
        <v>ZBWSS20</v>
      </c>
      <c r="C147" t="str">
        <v/>
      </c>
    </row>
    <row r="148">
      <c r="A148" t="str">
        <v>無線保全</v>
      </c>
      <c r="B148" t="str">
        <v>ZCT80VA</v>
      </c>
      <c r="C148" t="str">
        <v/>
      </c>
    </row>
    <row r="149">
      <c r="A149" t="str">
        <v>無線保全</v>
      </c>
      <c r="B149" t="str">
        <v>ZCTE10A</v>
      </c>
      <c r="C149" t="str">
        <v/>
      </c>
    </row>
    <row r="150">
      <c r="A150" t="str">
        <v>無線保全</v>
      </c>
      <c r="B150" t="str">
        <v>ZCTE20A</v>
      </c>
      <c r="C150" t="str">
        <v/>
      </c>
    </row>
    <row r="151">
      <c r="A151" t="str">
        <v>無線保全</v>
      </c>
      <c r="B151" t="str">
        <v>ZSPMB31</v>
      </c>
      <c r="C151" t="str">
        <v/>
      </c>
    </row>
    <row r="152">
      <c r="A152" t="str">
        <v>無線保全</v>
      </c>
      <c r="B152" t="str">
        <v>ZSPMB51</v>
      </c>
      <c r="C152" t="str">
        <v/>
      </c>
    </row>
    <row r="153">
      <c r="A153" t="str">
        <v>無線保全</v>
      </c>
      <c r="B153" t="str">
        <v>ZSPMG22</v>
      </c>
      <c r="C153" t="str">
        <v/>
      </c>
    </row>
    <row r="154">
      <c r="A154" t="str">
        <v>無線保全</v>
      </c>
      <c r="B154" t="str">
        <v>ZSPMG31</v>
      </c>
      <c r="C154" t="str">
        <v/>
      </c>
    </row>
    <row r="155">
      <c r="A155" t="str">
        <v>無線保全</v>
      </c>
      <c r="B155" t="str">
        <v>ZSPMG51</v>
      </c>
      <c r="C155" t="str">
        <v/>
      </c>
    </row>
    <row r="156">
      <c r="A156" t="str">
        <v>無線保全</v>
      </c>
      <c r="B156" t="str">
        <v>ZWDIO20</v>
      </c>
      <c r="C156" t="str">
        <v/>
      </c>
    </row>
    <row r="157">
      <c r="A157" t="str">
        <v>無線保全</v>
      </c>
      <c r="B157" t="str">
        <v>← 在此輸入新品號（無線保全）</v>
      </c>
      <c r="C157" t="str">
        <v/>
      </c>
    </row>
    <row r="158">
      <c r="A158" t="str">
        <v>無線保全</v>
      </c>
      <c r="B158" t="str">
        <v>← 在此輸入新品號（無線保全）</v>
      </c>
      <c r="C158" t="str">
        <v/>
      </c>
    </row>
    <row r="159">
      <c r="A159" t="str">
        <v>無線保全</v>
      </c>
      <c r="B159" t="str">
        <v>← 在此輸入新品號（無線保全）</v>
      </c>
      <c r="C159" t="str">
        <v/>
      </c>
    </row>
    <row r="160">
      <c r="A160" t="str">
        <v>無線保全</v>
      </c>
      <c r="B160" t="str">
        <v>← 在此輸入新品號（無線保全）</v>
      </c>
      <c r="C160" t="str">
        <v/>
      </c>
    </row>
    <row r="161">
      <c r="A161" t="str">
        <v>無線保全</v>
      </c>
      <c r="B161" t="str">
        <v>← 在此輸入新品號（無線保全）</v>
      </c>
      <c r="C161" t="str">
        <v/>
      </c>
    </row>
    <row r="162">
      <c r="A162" t="str">
        <v>無線保全</v>
      </c>
      <c r="B162" t="str">
        <v>← 在此輸入新品號（無線保全）</v>
      </c>
      <c r="C162" t="str">
        <v/>
      </c>
    </row>
    <row r="163">
      <c r="A163" t="str">
        <v>無線保全</v>
      </c>
      <c r="B163" t="str">
        <v>← 在此輸入新品號（無線保全）</v>
      </c>
      <c r="C163" t="str">
        <v/>
      </c>
    </row>
    <row r="164">
      <c r="A164" t="str">
        <v>無線保全</v>
      </c>
      <c r="B164" t="str">
        <v>← 在此輸入新品號（無線保全）</v>
      </c>
      <c r="C164" t="str">
        <v/>
      </c>
    </row>
    <row r="165">
      <c r="A165" t="str">
        <v>無線保全</v>
      </c>
      <c r="B165" t="str">
        <v>← 在此輸入新品號（無線保全）</v>
      </c>
      <c r="C165" t="str">
        <v/>
      </c>
    </row>
    <row r="166">
      <c r="A166" t="str">
        <v>無線保全</v>
      </c>
      <c r="B166" t="str">
        <v>← 在此輸入新品號（無線保全）</v>
      </c>
      <c r="C166" t="str">
        <v/>
      </c>
    </row>
    <row r="167">
      <c r="A167" t="str">
        <v>── 車機系統 ──</v>
      </c>
      <c r="B167" t="str">
        <v/>
      </c>
    </row>
    <row r="168">
      <c r="A168" t="str">
        <v>車機系統</v>
      </c>
      <c r="B168" t="str">
        <v>MS0M043</v>
      </c>
      <c r="C168" t="str">
        <v/>
      </c>
    </row>
    <row r="169">
      <c r="A169" t="str">
        <v>車機系統</v>
      </c>
      <c r="B169" t="str">
        <v>MSM0801</v>
      </c>
      <c r="C169" t="str">
        <v/>
      </c>
    </row>
    <row r="170">
      <c r="A170" t="str">
        <v>車機系統</v>
      </c>
      <c r="B170" t="str">
        <v>MSM0810</v>
      </c>
      <c r="C170" t="str">
        <v/>
      </c>
    </row>
    <row r="171">
      <c r="A171" t="str">
        <v>車機系統</v>
      </c>
      <c r="B171" t="str">
        <v>MSM1201</v>
      </c>
      <c r="C171" t="str">
        <v/>
      </c>
    </row>
    <row r="172">
      <c r="A172" t="str">
        <v>車機系統</v>
      </c>
      <c r="B172" t="str">
        <v>MSM1301</v>
      </c>
      <c r="C172" t="str">
        <v/>
      </c>
    </row>
    <row r="173">
      <c r="A173" t="str">
        <v>車機系統</v>
      </c>
      <c r="B173" t="str">
        <v>MSV0201</v>
      </c>
      <c r="C173" t="str">
        <v/>
      </c>
    </row>
    <row r="174">
      <c r="A174" t="str">
        <v>車機系統</v>
      </c>
      <c r="B174" t="str">
        <v>MSV0402</v>
      </c>
      <c r="C174" t="str">
        <v/>
      </c>
    </row>
    <row r="175">
      <c r="A175" t="str">
        <v>車機系統</v>
      </c>
      <c r="B175" t="str">
        <v>MSV0502</v>
      </c>
      <c r="C175" t="str">
        <v/>
      </c>
    </row>
    <row r="176">
      <c r="A176" t="str">
        <v>車機系統</v>
      </c>
      <c r="B176" t="str">
        <v>TPS0041</v>
      </c>
      <c r="C176" t="str">
        <v/>
      </c>
    </row>
    <row r="177">
      <c r="A177" t="str">
        <v>車機系統</v>
      </c>
      <c r="B177" t="str">
        <v>TPS0061</v>
      </c>
      <c r="C177" t="str">
        <v/>
      </c>
    </row>
    <row r="178">
      <c r="A178" t="str">
        <v>車機系統</v>
      </c>
      <c r="B178" t="str">
        <v>TPS0071</v>
      </c>
      <c r="C178" t="str">
        <v/>
      </c>
    </row>
    <row r="179">
      <c r="A179" t="str">
        <v>車機系統</v>
      </c>
      <c r="B179" t="str">
        <v>TPAD054</v>
      </c>
      <c r="C179" t="str">
        <v/>
      </c>
    </row>
    <row r="180">
      <c r="A180" t="str">
        <v>車機系統</v>
      </c>
      <c r="B180" t="str">
        <v>TPAD055</v>
      </c>
      <c r="C180" t="str">
        <v/>
      </c>
    </row>
    <row r="181">
      <c r="A181" t="str">
        <v>車機系統</v>
      </c>
      <c r="B181" t="str">
        <v>← 在此輸入新品號（車機系統）</v>
      </c>
      <c r="C181" t="str">
        <v/>
      </c>
    </row>
    <row r="182">
      <c r="A182" t="str">
        <v>車機系統</v>
      </c>
      <c r="B182" t="str">
        <v>← 在此輸入新品號（車機系統）</v>
      </c>
      <c r="C182" t="str">
        <v/>
      </c>
    </row>
    <row r="183">
      <c r="A183" t="str">
        <v>車機系統</v>
      </c>
      <c r="B183" t="str">
        <v>← 在此輸入新品號（車機系統）</v>
      </c>
      <c r="C183" t="str">
        <v/>
      </c>
    </row>
    <row r="184">
      <c r="A184" t="str">
        <v>車機系統</v>
      </c>
      <c r="B184" t="str">
        <v>← 在此輸入新品號（車機系統）</v>
      </c>
      <c r="C184" t="str">
        <v/>
      </c>
    </row>
    <row r="185">
      <c r="A185" t="str">
        <v>車機系統</v>
      </c>
      <c r="B185" t="str">
        <v>← 在此輸入新品號（車機系統）</v>
      </c>
      <c r="C185" t="str">
        <v/>
      </c>
    </row>
    <row r="186">
      <c r="A186" t="str">
        <v>車機系統</v>
      </c>
      <c r="B186" t="str">
        <v>← 在此輸入新品號（車機系統）</v>
      </c>
      <c r="C186" t="str">
        <v/>
      </c>
    </row>
    <row r="187">
      <c r="A187" t="str">
        <v>車機系統</v>
      </c>
      <c r="B187" t="str">
        <v>← 在此輸入新品號（車機系統）</v>
      </c>
      <c r="C187" t="str">
        <v/>
      </c>
    </row>
    <row r="188">
      <c r="A188" t="str">
        <v>車機系統</v>
      </c>
      <c r="B188" t="str">
        <v>← 在此輸入新品號（車機系統）</v>
      </c>
      <c r="C188" t="str">
        <v/>
      </c>
    </row>
    <row r="189">
      <c r="A189" t="str">
        <v>車機系統</v>
      </c>
      <c r="B189" t="str">
        <v>← 在此輸入新品號（車機系統）</v>
      </c>
      <c r="C189" t="str">
        <v/>
      </c>
    </row>
    <row r="190">
      <c r="A190" t="str">
        <v>車機系統</v>
      </c>
      <c r="B190" t="str">
        <v>← 在此輸入新品號（車機系統）</v>
      </c>
      <c r="C190" t="str">
        <v/>
      </c>
    </row>
    <row r="191">
      <c r="A191" t="str">
        <v>── AED ──</v>
      </c>
      <c r="B191" t="str">
        <v/>
      </c>
    </row>
    <row r="192">
      <c r="A192" t="str">
        <v>AED</v>
      </c>
      <c r="B192" t="str">
        <v>AED0501</v>
      </c>
      <c r="C192" t="str">
        <v/>
      </c>
    </row>
    <row r="193">
      <c r="A193" t="str">
        <v>AED</v>
      </c>
      <c r="B193" t="str">
        <v>AED4G10</v>
      </c>
      <c r="C193" t="str">
        <v/>
      </c>
    </row>
    <row r="194">
      <c r="A194" t="str">
        <v>AED</v>
      </c>
      <c r="B194" t="str">
        <v>AED4G20</v>
      </c>
      <c r="C194" t="str">
        <v/>
      </c>
    </row>
    <row r="195">
      <c r="A195" t="str">
        <v>AED</v>
      </c>
      <c r="B195" t="str">
        <v>AED4G30</v>
      </c>
      <c r="C195" t="str">
        <v/>
      </c>
    </row>
    <row r="196">
      <c r="A196" t="str">
        <v>AED</v>
      </c>
      <c r="B196" t="str">
        <v>AED4G40</v>
      </c>
      <c r="C196" t="str">
        <v/>
      </c>
    </row>
    <row r="197">
      <c r="A197" t="str">
        <v>AED</v>
      </c>
      <c r="B197" t="str">
        <v>← 在此輸入新品號（AED）</v>
      </c>
      <c r="C197" t="str">
        <v/>
      </c>
    </row>
    <row r="198">
      <c r="A198" t="str">
        <v>AED</v>
      </c>
      <c r="B198" t="str">
        <v>← 在此輸入新品號（AED）</v>
      </c>
      <c r="C198" t="str">
        <v/>
      </c>
    </row>
    <row r="199">
      <c r="A199" t="str">
        <v>AED</v>
      </c>
      <c r="B199" t="str">
        <v>← 在此輸入新品號（AED）</v>
      </c>
      <c r="C199" t="str">
        <v/>
      </c>
    </row>
    <row r="200">
      <c r="A200" t="str">
        <v>AED</v>
      </c>
      <c r="B200" t="str">
        <v>← 在此輸入新品號（AED）</v>
      </c>
      <c r="C200" t="str">
        <v/>
      </c>
    </row>
    <row r="201">
      <c r="A201" t="str">
        <v>AED</v>
      </c>
      <c r="B201" t="str">
        <v>← 在此輸入新品號（AED）</v>
      </c>
      <c r="C201" t="str">
        <v/>
      </c>
    </row>
    <row r="202">
      <c r="A202" t="str">
        <v>AED</v>
      </c>
      <c r="B202" t="str">
        <v>← 在此輸入新品號（AED）</v>
      </c>
      <c r="C202" t="str">
        <v/>
      </c>
    </row>
    <row r="203">
      <c r="A203" t="str">
        <v>AED</v>
      </c>
      <c r="B203" t="str">
        <v>← 在此輸入新品號（AED）</v>
      </c>
      <c r="C203" t="str">
        <v/>
      </c>
    </row>
    <row r="204">
      <c r="A204" t="str">
        <v>AED</v>
      </c>
      <c r="B204" t="str">
        <v>← 在此輸入新品號（AED）</v>
      </c>
      <c r="C204" t="str">
        <v/>
      </c>
    </row>
    <row r="205">
      <c r="A205" t="str">
        <v>AED</v>
      </c>
      <c r="B205" t="str">
        <v>← 在此輸入新品號（AED）</v>
      </c>
      <c r="C205" t="str">
        <v/>
      </c>
    </row>
    <row r="206">
      <c r="A206" t="str">
        <v>AED</v>
      </c>
      <c r="B206" t="str">
        <v>← 在此輸入新品號（AED）</v>
      </c>
      <c r="C206" t="str">
        <v/>
      </c>
    </row>
    <row r="207">
      <c r="A207" t="str">
        <v>── 門禁 ──</v>
      </c>
      <c r="B207" t="str">
        <v/>
      </c>
    </row>
    <row r="208">
      <c r="A208" t="str">
        <v>門禁</v>
      </c>
      <c r="B208" t="str">
        <v>OPC002C</v>
      </c>
      <c r="C208" t="str">
        <v/>
      </c>
    </row>
    <row r="209">
      <c r="A209" t="str">
        <v>門禁</v>
      </c>
      <c r="B209" t="str">
        <v>OPC003C</v>
      </c>
      <c r="C209" t="str">
        <v/>
      </c>
    </row>
    <row r="210">
      <c r="A210" t="str">
        <v>門禁</v>
      </c>
      <c r="B210" t="str">
        <v>OPC0050</v>
      </c>
      <c r="C210" t="str">
        <v/>
      </c>
    </row>
    <row r="211">
      <c r="A211" t="str">
        <v>門禁</v>
      </c>
      <c r="B211" t="str">
        <v>OPC1050</v>
      </c>
      <c r="C211" t="str">
        <v/>
      </c>
    </row>
    <row r="212">
      <c r="A212" t="str">
        <v>門禁</v>
      </c>
      <c r="B212" t="str">
        <v>← 在此輸入新品號（門禁）</v>
      </c>
      <c r="C212" t="str">
        <v/>
      </c>
    </row>
    <row r="213">
      <c r="A213" t="str">
        <v>門禁</v>
      </c>
      <c r="B213" t="str">
        <v>← 在此輸入新品號（門禁）</v>
      </c>
      <c r="C213" t="str">
        <v/>
      </c>
    </row>
    <row r="214">
      <c r="A214" t="str">
        <v>門禁</v>
      </c>
      <c r="B214" t="str">
        <v>← 在此輸入新品號（門禁）</v>
      </c>
      <c r="C214" t="str">
        <v/>
      </c>
    </row>
    <row r="215">
      <c r="A215" t="str">
        <v>門禁</v>
      </c>
      <c r="B215" t="str">
        <v>← 在此輸入新品號（門禁）</v>
      </c>
      <c r="C215" t="str">
        <v/>
      </c>
    </row>
    <row r="216">
      <c r="A216" t="str">
        <v>門禁</v>
      </c>
      <c r="B216" t="str">
        <v>← 在此輸入新品號（門禁）</v>
      </c>
      <c r="C216" t="str">
        <v/>
      </c>
    </row>
    <row r="217">
      <c r="A217" t="str">
        <v>門禁</v>
      </c>
      <c r="B217" t="str">
        <v>← 在此輸入新品號（門禁）</v>
      </c>
      <c r="C217" t="str">
        <v/>
      </c>
    </row>
    <row r="218">
      <c r="A218" t="str">
        <v>門禁</v>
      </c>
      <c r="B218" t="str">
        <v>← 在此輸入新品號（門禁）</v>
      </c>
      <c r="C218" t="str">
        <v/>
      </c>
    </row>
    <row r="219">
      <c r="A219" t="str">
        <v>門禁</v>
      </c>
      <c r="B219" t="str">
        <v>← 在此輸入新品號（門禁）</v>
      </c>
      <c r="C219" t="str">
        <v/>
      </c>
    </row>
    <row r="220">
      <c r="A220" t="str">
        <v>門禁</v>
      </c>
      <c r="B220" t="str">
        <v>← 在此輸入新品號（門禁）</v>
      </c>
      <c r="C220" t="str">
        <v/>
      </c>
    </row>
    <row r="221">
      <c r="A221" t="str">
        <v>門禁</v>
      </c>
      <c r="B221" t="str">
        <v>← 在此輸入新品號（門禁）</v>
      </c>
      <c r="C221" t="str">
        <v/>
      </c>
    </row>
    <row r="222">
      <c r="A222" t="str">
        <v>其他</v>
      </c>
      <c r="B222" t="str">
        <v>← 輸入不屬於以上大類的新品號</v>
      </c>
      <c r="C222" t="str">
        <v/>
      </c>
    </row>
    <row r="223">
      <c r="A223" t="str">
        <v>其他</v>
      </c>
      <c r="B223" t="str">
        <v>← 輸入不屬於以上大類的新品號</v>
      </c>
      <c r="C223" t="str">
        <v/>
      </c>
    </row>
    <row r="224">
      <c r="A224" t="str">
        <v>其他</v>
      </c>
      <c r="B224" t="str">
        <v>← 輸入不屬於以上大類的新品號</v>
      </c>
      <c r="C224" t="str">
        <v/>
      </c>
    </row>
    <row r="225">
      <c r="A225" t="str">
        <v>其他</v>
      </c>
      <c r="B225" t="str">
        <v>← 輸入不屬於以上大類的新品號</v>
      </c>
      <c r="C225" t="str">
        <v/>
      </c>
    </row>
    <row r="226">
      <c r="A226" t="str">
        <v>其他</v>
      </c>
      <c r="B226" t="str">
        <v>← 輸入不屬於以上大類的新品號</v>
      </c>
      <c r="C226" t="str">
        <v/>
      </c>
    </row>
    <row r="227">
      <c r="A227" t="str">
        <v>其他</v>
      </c>
      <c r="B227" t="str">
        <v>← 輸入不屬於以上大類的新品號</v>
      </c>
      <c r="C227" t="str">
        <v/>
      </c>
    </row>
    <row r="228">
      <c r="A228" t="str">
        <v>其他</v>
      </c>
      <c r="B228" t="str">
        <v>← 輸入不屬於以上大類的新品號</v>
      </c>
      <c r="C228" t="str">
        <v/>
      </c>
    </row>
    <row r="229">
      <c r="A229" t="str">
        <v>其他</v>
      </c>
      <c r="B229" t="str">
        <v>← 輸入不屬於以上大類的新品號</v>
      </c>
      <c r="C229" t="str">
        <v/>
      </c>
    </row>
    <row r="230">
      <c r="A230" t="str">
        <v>其他</v>
      </c>
      <c r="B230" t="str">
        <v>← 輸入不屬於以上大類的新品號</v>
      </c>
      <c r="C230" t="str">
        <v/>
      </c>
    </row>
    <row r="231">
      <c r="A231" t="str">
        <v>其他</v>
      </c>
      <c r="B231" t="str">
        <v>← 輸入不屬於以上大類的新品號</v>
      </c>
      <c r="C231" t="str">
        <v/>
      </c>
    </row>
    <row r="232">
      <c r="A232" t="str">
        <v>其他</v>
      </c>
      <c r="B232" t="str">
        <v>← 輸入不屬於以上大類的新品號</v>
      </c>
      <c r="C232" t="str">
        <v/>
      </c>
    </row>
    <row r="233">
      <c r="A233" t="str">
        <v>其他</v>
      </c>
      <c r="B233" t="str">
        <v>← 輸入不屬於以上大類的新品號</v>
      </c>
      <c r="C233" t="str">
        <v/>
      </c>
    </row>
    <row r="234">
      <c r="A234" t="str">
        <v>其他</v>
      </c>
      <c r="B234" t="str">
        <v>← 輸入不屬於以上大類的新品號</v>
      </c>
      <c r="C234" t="str">
        <v/>
      </c>
    </row>
    <row r="235">
      <c r="A235" t="str">
        <v>其他</v>
      </c>
      <c r="B235" t="str">
        <v>← 輸入不屬於以上大類的新品號</v>
      </c>
      <c r="C235" t="str">
        <v/>
      </c>
    </row>
    <row r="236">
      <c r="A236" t="str">
        <v>其他</v>
      </c>
      <c r="B236" t="str">
        <v>← 輸入不屬於以上大類的新品號</v>
      </c>
      <c r="C236" t="str">
        <v/>
      </c>
    </row>
    <row r="237">
      <c r="A237" t="str">
        <v>其他</v>
      </c>
      <c r="B237" t="str">
        <v>← 輸入不屬於以上大類的新品號</v>
      </c>
      <c r="C237" t="str">
        <v/>
      </c>
    </row>
    <row r="238">
      <c r="A238" t="str">
        <v>其他</v>
      </c>
      <c r="B238" t="str">
        <v>← 輸入不屬於以上大類的新品號</v>
      </c>
      <c r="C238" t="str">
        <v/>
      </c>
    </row>
    <row r="239">
      <c r="A239" t="str">
        <v>其他</v>
      </c>
      <c r="B239" t="str">
        <v>← 輸入不屬於以上大類的新品號</v>
      </c>
      <c r="C239" t="str">
        <v/>
      </c>
    </row>
    <row r="240">
      <c r="A240" t="str">
        <v>其他</v>
      </c>
      <c r="B240" t="str">
        <v>← 輸入不屬於以上大類的新品號</v>
      </c>
      <c r="C240" t="str">
        <v/>
      </c>
    </row>
    <row r="241">
      <c r="A241" t="str">
        <v>其他</v>
      </c>
      <c r="B241" t="str">
        <v>← 輸入不屬於以上大類的新品號</v>
      </c>
      <c r="C241" t="str">
        <v/>
      </c>
    </row>
  </sheetData>
  <ignoredErrors>
    <ignoredError numberStoredAsText="1" sqref="A1:C24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B503"/>
  <sheetViews>
    <sheetView workbookViewId="0"/>
  </sheetViews>
  <cols>
    <col min="1" max="1" width="13.83203125" customWidth="1"/>
    <col min="2" max="2" width="13.83203125" customWidth="1"/>
    <col min="3" max="3" width="14.83203125" customWidth="1"/>
    <col min="4" max="4" width="15.83203125" customWidth="1"/>
    <col min="5" max="5" width="16.83203125" customWidth="1"/>
    <col min="6" max="6" width="13.83203125" customWidth="1"/>
    <col min="7" max="7" width="13.83203125" customWidth="1"/>
    <col min="8" max="8" width="11.83203125" customWidth="1"/>
    <col min="9" max="9" width="11.83203125" customWidth="1"/>
    <col min="10" max="10" width="14.83203125" customWidth="1"/>
    <col min="11" max="11" width="42.83203125" customWidth="1"/>
    <col min="12" max="12" width="14.83203125" customWidth="1"/>
    <col min="13" max="13" width="18.83203125" customWidth="1"/>
    <col min="14" max="14" width="14.83203125" customWidth="1"/>
    <col min="15" max="15" width="8.83203125" customWidth="1"/>
    <col min="16" max="16" width="18.83203125" customWidth="1"/>
    <col min="17" max="17" width="14.83203125" customWidth="1"/>
    <col min="18" max="18" width="8.83203125" customWidth="1"/>
    <col min="19" max="19" width="18.83203125" customWidth="1"/>
    <col min="20" max="20" width="14.83203125" customWidth="1"/>
    <col min="21" max="21" width="8.83203125" customWidth="1"/>
    <col min="22" max="22" width="14.83203125" customWidth="1"/>
    <col min="23" max="23" width="10.83203125" customWidth="1"/>
    <col min="24" max="24" width="12.83203125" customWidth="1"/>
    <col min="25" max="25" width="12.83203125" customWidth="1"/>
    <col min="26" max="26" width="11.83203125" customWidth="1"/>
    <col min="27" max="27" width="13.83203125" customWidth="1"/>
    <col min="28" max="28" width="35.83203125" customWidth="1"/>
  </cols>
  <sheetData>
    <row r="1">
      <c r="A1" t="str">
        <v>★ 接收日期</v>
      </c>
      <c r="B1" t="str">
        <v>★ 檢修日期</v>
      </c>
      <c r="C1" t="str">
        <v>★ 器材品號</v>
      </c>
      <c r="D1" t="str">
        <v>★ 機器序號</v>
      </c>
      <c r="E1" t="str">
        <v>☆ 製令品號</v>
      </c>
      <c r="F1" t="str">
        <v>☆ 製造日期</v>
      </c>
      <c r="G1" t="str">
        <v>來源類型</v>
      </c>
      <c r="H1" t="str">
        <v>保固狀態</v>
      </c>
      <c r="I1" t="str">
        <v>外觀損傷</v>
      </c>
      <c r="J1" t="str">
        <v>★ 故障原因</v>
      </c>
      <c r="K1" t="str">
        <v>★ 故障內容</v>
      </c>
      <c r="L1" t="str">
        <v>故障再現性</v>
      </c>
      <c r="M1" t="str">
        <v>☆ 故障零件一</v>
      </c>
      <c r="N1" t="str">
        <v xml:space="preserve">  零件一大類</v>
      </c>
      <c r="O1" t="str">
        <v>☆ 數量一</v>
      </c>
      <c r="P1" t="str">
        <v>故障零件二</v>
      </c>
      <c r="Q1" t="str">
        <v xml:space="preserve">  零件二大類</v>
      </c>
      <c r="R1" t="str">
        <v>數量二</v>
      </c>
      <c r="S1" t="str">
        <v>故障零件三</v>
      </c>
      <c r="T1" t="str">
        <v xml:space="preserve">  零件三大類</v>
      </c>
      <c r="U1" t="str">
        <v>數量三</v>
      </c>
      <c r="V1" t="str">
        <v>維修方式</v>
      </c>
      <c r="W1" t="str">
        <v>★ 是否報廢</v>
      </c>
      <c r="X1" t="str">
        <v>測試結果</v>
      </c>
      <c r="Y1" t="str">
        <v>韌體版本</v>
      </c>
      <c r="Z1" t="str">
        <v>維修技師</v>
      </c>
      <c r="AA1" t="str">
        <v>維修工時(h)</v>
      </c>
      <c r="AB1" t="str">
        <v>備註</v>
      </c>
    </row>
    <row r="2">
      <c r="A2" t="str">
        <v>送修到廠的日期</v>
      </c>
      <c r="B2" t="str">
        <v>完成維修的日期</v>
      </c>
      <c r="C2" t="str">
        <v>從下拉選擇；新品號可直接輸入</v>
      </c>
      <c r="D2" t="str">
        <v>機器唯一序號(SN)</v>
      </c>
      <c r="E2" t="str">
        <v>9位數字，解鎖責任分析</v>
      </c>
      <c r="F2" t="str">
        <v>機器標籤上的製造日期</v>
      </c>
      <c r="G2" t="str">
        <v>選擇維修來源</v>
      </c>
      <c r="H2" t="str">
        <v>是否在保固期內</v>
      </c>
      <c r="I2" t="str">
        <v>是否有人為損傷</v>
      </c>
      <c r="J2" t="str">
        <v>從下拉選擇大類</v>
      </c>
      <c r="K2" t="str">
        <v>詳述現象與換件</v>
      </c>
      <c r="L2" t="str">
        <v>故障能否在廠重現</v>
      </c>
      <c r="M2" t="str">
        <v>換件料號或零件名稱</v>
      </c>
      <c r="N2" t="str">
        <v>(自動帶出，勿修改)</v>
      </c>
      <c r="O2" t="str">
        <v>換件數量</v>
      </c>
      <c r="P2" t="str">
        <v>第二換件料號</v>
      </c>
      <c r="Q2" t="str">
        <v>(自動帶出)</v>
      </c>
      <c r="R2" t="str">
        <v>數量</v>
      </c>
      <c r="S2" t="str">
        <v>第三換件料號</v>
      </c>
      <c r="T2" t="str">
        <v>(自動帶出)</v>
      </c>
      <c r="U2" t="str">
        <v>數量</v>
      </c>
      <c r="V2" t="str">
        <v>選擇主要維修手段</v>
      </c>
      <c r="W2" t="str">
        <v>Y=報廢 N=維修完成</v>
      </c>
      <c r="X2" t="str">
        <v>出廠前測試狀態</v>
      </c>
      <c r="Y2" t="str">
        <v>如 v2.3.1</v>
      </c>
      <c r="Z2" t="str">
        <v>姓名或工號</v>
      </c>
      <c r="AA2" t="str">
        <v>小時，如 1.5</v>
      </c>
      <c r="AB2" t="str">
        <v>其他說明</v>
      </c>
    </row>
    <row r="3">
      <c r="A3" t="str">
        <v>2026/04/13</v>
      </c>
      <c r="B3" t="str">
        <v>2026/04/15</v>
      </c>
      <c r="C3" t="str">
        <v>MSM0801</v>
      </c>
      <c r="D3" t="str">
        <v>SN20250001</v>
      </c>
      <c r="E3" t="str">
        <v>250410057</v>
      </c>
      <c r="F3" t="str">
        <v>2025/04/10</v>
      </c>
      <c r="G3" t="str">
        <v>客戶退修</v>
      </c>
      <c r="H3" t="str">
        <v>保固外</v>
      </c>
      <c r="I3" t="str">
        <v>無</v>
      </c>
      <c r="J3" t="str">
        <v>電源系統</v>
      </c>
      <c r="K3" t="str">
        <v>無法開機，電源板輸出電壓異常，換電源模組後正常</v>
      </c>
      <c r="L3" t="str">
        <v>可重現</v>
      </c>
      <c r="M3" t="str">
        <v>1180042</v>
      </c>
      <c r="N3" t="str">
        <v>(自動)</v>
      </c>
      <c r="O3" t="str">
        <v>1</v>
      </c>
      <c r="P3" t="str">
        <v/>
      </c>
      <c r="Q3" t="str">
        <v>(自動)</v>
      </c>
      <c r="R3" t="str">
        <v/>
      </c>
      <c r="S3" t="str">
        <v/>
      </c>
      <c r="T3" t="str">
        <v>(自動)</v>
      </c>
      <c r="U3" t="str">
        <v/>
      </c>
      <c r="V3" t="str">
        <v>換件修復</v>
      </c>
      <c r="W3" t="str">
        <v>N</v>
      </c>
      <c r="X3" t="str">
        <v>通過</v>
      </c>
      <c r="Y3" t="str">
        <v>v2.3.1</v>
      </c>
      <c r="Z3" t="str">
        <v>王大明</v>
      </c>
      <c r="AA3" t="str">
        <v>1.5</v>
      </c>
      <c r="AB3" t="str">
        <v/>
      </c>
    </row>
    <row r="4">
      <c r="N4">
        <f>=IFERROR(VLOOKUP(VALUE(LEFT(M4,3)),料號對照!$A:$B,2,0),IFERROR(VLOOKUP(VALUE(LEFT(M4,1)),料號對照!$A:$B,2,0),""))</f>
      </c>
      <c r="Q4">
        <f>=IFERROR(VLOOKUP(VALUE(LEFT(P4,3)),料號對照!$A:$B,2,0),IFERROR(VLOOKUP(VALUE(LEFT(P4,1)),料號對照!$A:$B,2,0),""))</f>
      </c>
      <c r="T4">
        <f>=IFERROR(VLOOKUP(VALUE(LEFT(S4,3)),料號對照!$A:$B,2,0),IFERROR(VLOOKUP(VALUE(LEFT(S4,1)),料號對照!$A:$B,2,0),""))</f>
      </c>
    </row>
    <row r="5">
      <c r="N5">
        <f>=IFERROR(VLOOKUP(VALUE(LEFT(M5,3)),料號對照!$A:$B,2,0),IFERROR(VLOOKUP(VALUE(LEFT(M5,1)),料號對照!$A:$B,2,0),""))</f>
      </c>
      <c r="Q5">
        <f>=IFERROR(VLOOKUP(VALUE(LEFT(P5,3)),料號對照!$A:$B,2,0),IFERROR(VLOOKUP(VALUE(LEFT(P5,1)),料號對照!$A:$B,2,0),""))</f>
      </c>
      <c r="T5">
        <f>=IFERROR(VLOOKUP(VALUE(LEFT(S5,3)),料號對照!$A:$B,2,0),IFERROR(VLOOKUP(VALUE(LEFT(S5,1)),料號對照!$A:$B,2,0),""))</f>
      </c>
    </row>
    <row r="6">
      <c r="N6">
        <f>=IFERROR(VLOOKUP(VALUE(LEFT(M6,3)),料號對照!$A:$B,2,0),IFERROR(VLOOKUP(VALUE(LEFT(M6,1)),料號對照!$A:$B,2,0),""))</f>
      </c>
      <c r="Q6">
        <f>=IFERROR(VLOOKUP(VALUE(LEFT(P6,3)),料號對照!$A:$B,2,0),IFERROR(VLOOKUP(VALUE(LEFT(P6,1)),料號對照!$A:$B,2,0),""))</f>
      </c>
      <c r="T6">
        <f>=IFERROR(VLOOKUP(VALUE(LEFT(S6,3)),料號對照!$A:$B,2,0),IFERROR(VLOOKUP(VALUE(LEFT(S6,1)),料號對照!$A:$B,2,0),""))</f>
      </c>
    </row>
    <row r="7">
      <c r="N7">
        <f>=IFERROR(VLOOKUP(VALUE(LEFT(M7,3)),料號對照!$A:$B,2,0),IFERROR(VLOOKUP(VALUE(LEFT(M7,1)),料號對照!$A:$B,2,0),""))</f>
      </c>
      <c r="Q7">
        <f>=IFERROR(VLOOKUP(VALUE(LEFT(P7,3)),料號對照!$A:$B,2,0),IFERROR(VLOOKUP(VALUE(LEFT(P7,1)),料號對照!$A:$B,2,0),""))</f>
      </c>
      <c r="T7">
        <f>=IFERROR(VLOOKUP(VALUE(LEFT(S7,3)),料號對照!$A:$B,2,0),IFERROR(VLOOKUP(VALUE(LEFT(S7,1)),料號對照!$A:$B,2,0),""))</f>
      </c>
    </row>
    <row r="8">
      <c r="N8">
        <f>=IFERROR(VLOOKUP(VALUE(LEFT(M8,3)),料號對照!$A:$B,2,0),IFERROR(VLOOKUP(VALUE(LEFT(M8,1)),料號對照!$A:$B,2,0),""))</f>
      </c>
      <c r="Q8">
        <f>=IFERROR(VLOOKUP(VALUE(LEFT(P8,3)),料號對照!$A:$B,2,0),IFERROR(VLOOKUP(VALUE(LEFT(P8,1)),料號對照!$A:$B,2,0),""))</f>
      </c>
      <c r="T8">
        <f>=IFERROR(VLOOKUP(VALUE(LEFT(S8,3)),料號對照!$A:$B,2,0),IFERROR(VLOOKUP(VALUE(LEFT(S8,1)),料號對照!$A:$B,2,0),""))</f>
      </c>
    </row>
    <row r="9">
      <c r="N9">
        <f>=IFERROR(VLOOKUP(VALUE(LEFT(M9,3)),料號對照!$A:$B,2,0),IFERROR(VLOOKUP(VALUE(LEFT(M9,1)),料號對照!$A:$B,2,0),""))</f>
      </c>
      <c r="Q9">
        <f>=IFERROR(VLOOKUP(VALUE(LEFT(P9,3)),料號對照!$A:$B,2,0),IFERROR(VLOOKUP(VALUE(LEFT(P9,1)),料號對照!$A:$B,2,0),""))</f>
      </c>
      <c r="T9">
        <f>=IFERROR(VLOOKUP(VALUE(LEFT(S9,3)),料號對照!$A:$B,2,0),IFERROR(VLOOKUP(VALUE(LEFT(S9,1)),料號對照!$A:$B,2,0),""))</f>
      </c>
    </row>
    <row r="10">
      <c r="N10">
        <f>=IFERROR(VLOOKUP(VALUE(LEFT(M10,3)),料號對照!$A:$B,2,0),IFERROR(VLOOKUP(VALUE(LEFT(M10,1)),料號對照!$A:$B,2,0),""))</f>
      </c>
      <c r="Q10">
        <f>=IFERROR(VLOOKUP(VALUE(LEFT(P10,3)),料號對照!$A:$B,2,0),IFERROR(VLOOKUP(VALUE(LEFT(P10,1)),料號對照!$A:$B,2,0),""))</f>
      </c>
      <c r="T10">
        <f>=IFERROR(VLOOKUP(VALUE(LEFT(S10,3)),料號對照!$A:$B,2,0),IFERROR(VLOOKUP(VALUE(LEFT(S10,1)),料號對照!$A:$B,2,0),""))</f>
      </c>
    </row>
    <row r="11">
      <c r="N11">
        <f>=IFERROR(VLOOKUP(VALUE(LEFT(M11,3)),料號對照!$A:$B,2,0),IFERROR(VLOOKUP(VALUE(LEFT(M11,1)),料號對照!$A:$B,2,0),""))</f>
      </c>
      <c r="Q11">
        <f>=IFERROR(VLOOKUP(VALUE(LEFT(P11,3)),料號對照!$A:$B,2,0),IFERROR(VLOOKUP(VALUE(LEFT(P11,1)),料號對照!$A:$B,2,0),""))</f>
      </c>
      <c r="T11">
        <f>=IFERROR(VLOOKUP(VALUE(LEFT(S11,3)),料號對照!$A:$B,2,0),IFERROR(VLOOKUP(VALUE(LEFT(S11,1)),料號對照!$A:$B,2,0),""))</f>
      </c>
    </row>
    <row r="12">
      <c r="N12">
        <f>=IFERROR(VLOOKUP(VALUE(LEFT(M12,3)),料號對照!$A:$B,2,0),IFERROR(VLOOKUP(VALUE(LEFT(M12,1)),料號對照!$A:$B,2,0),""))</f>
      </c>
      <c r="Q12">
        <f>=IFERROR(VLOOKUP(VALUE(LEFT(P12,3)),料號對照!$A:$B,2,0),IFERROR(VLOOKUP(VALUE(LEFT(P12,1)),料號對照!$A:$B,2,0),""))</f>
      </c>
      <c r="T12">
        <f>=IFERROR(VLOOKUP(VALUE(LEFT(S12,3)),料號對照!$A:$B,2,0),IFERROR(VLOOKUP(VALUE(LEFT(S12,1)),料號對照!$A:$B,2,0),""))</f>
      </c>
    </row>
    <row r="13">
      <c r="N13">
        <f>=IFERROR(VLOOKUP(VALUE(LEFT(M13,3)),料號對照!$A:$B,2,0),IFERROR(VLOOKUP(VALUE(LEFT(M13,1)),料號對照!$A:$B,2,0),""))</f>
      </c>
      <c r="Q13">
        <f>=IFERROR(VLOOKUP(VALUE(LEFT(P13,3)),料號對照!$A:$B,2,0),IFERROR(VLOOKUP(VALUE(LEFT(P13,1)),料號對照!$A:$B,2,0),""))</f>
      </c>
      <c r="T13">
        <f>=IFERROR(VLOOKUP(VALUE(LEFT(S13,3)),料號對照!$A:$B,2,0),IFERROR(VLOOKUP(VALUE(LEFT(S13,1)),料號對照!$A:$B,2,0),""))</f>
      </c>
    </row>
    <row r="14">
      <c r="N14">
        <f>=IFERROR(VLOOKUP(VALUE(LEFT(M14,3)),料號對照!$A:$B,2,0),IFERROR(VLOOKUP(VALUE(LEFT(M14,1)),料號對照!$A:$B,2,0),""))</f>
      </c>
      <c r="Q14">
        <f>=IFERROR(VLOOKUP(VALUE(LEFT(P14,3)),料號對照!$A:$B,2,0),IFERROR(VLOOKUP(VALUE(LEFT(P14,1)),料號對照!$A:$B,2,0),""))</f>
      </c>
      <c r="T14">
        <f>=IFERROR(VLOOKUP(VALUE(LEFT(S14,3)),料號對照!$A:$B,2,0),IFERROR(VLOOKUP(VALUE(LEFT(S14,1)),料號對照!$A:$B,2,0),""))</f>
      </c>
    </row>
    <row r="15">
      <c r="N15">
        <f>=IFERROR(VLOOKUP(VALUE(LEFT(M15,3)),料號對照!$A:$B,2,0),IFERROR(VLOOKUP(VALUE(LEFT(M15,1)),料號對照!$A:$B,2,0),""))</f>
      </c>
      <c r="Q15">
        <f>=IFERROR(VLOOKUP(VALUE(LEFT(P15,3)),料號對照!$A:$B,2,0),IFERROR(VLOOKUP(VALUE(LEFT(P15,1)),料號對照!$A:$B,2,0),""))</f>
      </c>
      <c r="T15">
        <f>=IFERROR(VLOOKUP(VALUE(LEFT(S15,3)),料號對照!$A:$B,2,0),IFERROR(VLOOKUP(VALUE(LEFT(S15,1)),料號對照!$A:$B,2,0),""))</f>
      </c>
    </row>
    <row r="16">
      <c r="N16">
        <f>=IFERROR(VLOOKUP(VALUE(LEFT(M16,3)),料號對照!$A:$B,2,0),IFERROR(VLOOKUP(VALUE(LEFT(M16,1)),料號對照!$A:$B,2,0),""))</f>
      </c>
      <c r="Q16">
        <f>=IFERROR(VLOOKUP(VALUE(LEFT(P16,3)),料號對照!$A:$B,2,0),IFERROR(VLOOKUP(VALUE(LEFT(P16,1)),料號對照!$A:$B,2,0),""))</f>
      </c>
      <c r="T16">
        <f>=IFERROR(VLOOKUP(VALUE(LEFT(S16,3)),料號對照!$A:$B,2,0),IFERROR(VLOOKUP(VALUE(LEFT(S16,1)),料號對照!$A:$B,2,0),""))</f>
      </c>
    </row>
    <row r="17">
      <c r="N17">
        <f>=IFERROR(VLOOKUP(VALUE(LEFT(M17,3)),料號對照!$A:$B,2,0),IFERROR(VLOOKUP(VALUE(LEFT(M17,1)),料號對照!$A:$B,2,0),""))</f>
      </c>
      <c r="Q17">
        <f>=IFERROR(VLOOKUP(VALUE(LEFT(P17,3)),料號對照!$A:$B,2,0),IFERROR(VLOOKUP(VALUE(LEFT(P17,1)),料號對照!$A:$B,2,0),""))</f>
      </c>
      <c r="T17">
        <f>=IFERROR(VLOOKUP(VALUE(LEFT(S17,3)),料號對照!$A:$B,2,0),IFERROR(VLOOKUP(VALUE(LEFT(S17,1)),料號對照!$A:$B,2,0),""))</f>
      </c>
    </row>
    <row r="18">
      <c r="N18">
        <f>=IFERROR(VLOOKUP(VALUE(LEFT(M18,3)),料號對照!$A:$B,2,0),IFERROR(VLOOKUP(VALUE(LEFT(M18,1)),料號對照!$A:$B,2,0),""))</f>
      </c>
      <c r="Q18">
        <f>=IFERROR(VLOOKUP(VALUE(LEFT(P18,3)),料號對照!$A:$B,2,0),IFERROR(VLOOKUP(VALUE(LEFT(P18,1)),料號對照!$A:$B,2,0),""))</f>
      </c>
      <c r="T18">
        <f>=IFERROR(VLOOKUP(VALUE(LEFT(S18,3)),料號對照!$A:$B,2,0),IFERROR(VLOOKUP(VALUE(LEFT(S18,1)),料號對照!$A:$B,2,0),""))</f>
      </c>
    </row>
    <row r="19">
      <c r="N19">
        <f>=IFERROR(VLOOKUP(VALUE(LEFT(M19,3)),料號對照!$A:$B,2,0),IFERROR(VLOOKUP(VALUE(LEFT(M19,1)),料號對照!$A:$B,2,0),""))</f>
      </c>
      <c r="Q19">
        <f>=IFERROR(VLOOKUP(VALUE(LEFT(P19,3)),料號對照!$A:$B,2,0),IFERROR(VLOOKUP(VALUE(LEFT(P19,1)),料號對照!$A:$B,2,0),""))</f>
      </c>
      <c r="T19">
        <f>=IFERROR(VLOOKUP(VALUE(LEFT(S19,3)),料號對照!$A:$B,2,0),IFERROR(VLOOKUP(VALUE(LEFT(S19,1)),料號對照!$A:$B,2,0),""))</f>
      </c>
    </row>
    <row r="20">
      <c r="N20">
        <f>=IFERROR(VLOOKUP(VALUE(LEFT(M20,3)),料號對照!$A:$B,2,0),IFERROR(VLOOKUP(VALUE(LEFT(M20,1)),料號對照!$A:$B,2,0),""))</f>
      </c>
      <c r="Q20">
        <f>=IFERROR(VLOOKUP(VALUE(LEFT(P20,3)),料號對照!$A:$B,2,0),IFERROR(VLOOKUP(VALUE(LEFT(P20,1)),料號對照!$A:$B,2,0),""))</f>
      </c>
      <c r="T20">
        <f>=IFERROR(VLOOKUP(VALUE(LEFT(S20,3)),料號對照!$A:$B,2,0),IFERROR(VLOOKUP(VALUE(LEFT(S20,1)),料號對照!$A:$B,2,0),""))</f>
      </c>
    </row>
    <row r="21">
      <c r="N21">
        <f>=IFERROR(VLOOKUP(VALUE(LEFT(M21,3)),料號對照!$A:$B,2,0),IFERROR(VLOOKUP(VALUE(LEFT(M21,1)),料號對照!$A:$B,2,0),""))</f>
      </c>
      <c r="Q21">
        <f>=IFERROR(VLOOKUP(VALUE(LEFT(P21,3)),料號對照!$A:$B,2,0),IFERROR(VLOOKUP(VALUE(LEFT(P21,1)),料號對照!$A:$B,2,0),""))</f>
      </c>
      <c r="T21">
        <f>=IFERROR(VLOOKUP(VALUE(LEFT(S21,3)),料號對照!$A:$B,2,0),IFERROR(VLOOKUP(VALUE(LEFT(S21,1)),料號對照!$A:$B,2,0),""))</f>
      </c>
    </row>
    <row r="22">
      <c r="N22">
        <f>=IFERROR(VLOOKUP(VALUE(LEFT(M22,3)),料號對照!$A:$B,2,0),IFERROR(VLOOKUP(VALUE(LEFT(M22,1)),料號對照!$A:$B,2,0),""))</f>
      </c>
      <c r="Q22">
        <f>=IFERROR(VLOOKUP(VALUE(LEFT(P22,3)),料號對照!$A:$B,2,0),IFERROR(VLOOKUP(VALUE(LEFT(P22,1)),料號對照!$A:$B,2,0),""))</f>
      </c>
      <c r="T22">
        <f>=IFERROR(VLOOKUP(VALUE(LEFT(S22,3)),料號對照!$A:$B,2,0),IFERROR(VLOOKUP(VALUE(LEFT(S22,1)),料號對照!$A:$B,2,0),""))</f>
      </c>
    </row>
    <row r="23">
      <c r="N23">
        <f>=IFERROR(VLOOKUP(VALUE(LEFT(M23,3)),料號對照!$A:$B,2,0),IFERROR(VLOOKUP(VALUE(LEFT(M23,1)),料號對照!$A:$B,2,0),""))</f>
      </c>
      <c r="Q23">
        <f>=IFERROR(VLOOKUP(VALUE(LEFT(P23,3)),料號對照!$A:$B,2,0),IFERROR(VLOOKUP(VALUE(LEFT(P23,1)),料號對照!$A:$B,2,0),""))</f>
      </c>
      <c r="T23">
        <f>=IFERROR(VLOOKUP(VALUE(LEFT(S23,3)),料號對照!$A:$B,2,0),IFERROR(VLOOKUP(VALUE(LEFT(S23,1)),料號對照!$A:$B,2,0),""))</f>
      </c>
    </row>
    <row r="24">
      <c r="N24">
        <f>=IFERROR(VLOOKUP(VALUE(LEFT(M24,3)),料號對照!$A:$B,2,0),IFERROR(VLOOKUP(VALUE(LEFT(M24,1)),料號對照!$A:$B,2,0),""))</f>
      </c>
      <c r="Q24">
        <f>=IFERROR(VLOOKUP(VALUE(LEFT(P24,3)),料號對照!$A:$B,2,0),IFERROR(VLOOKUP(VALUE(LEFT(P24,1)),料號對照!$A:$B,2,0),""))</f>
      </c>
      <c r="T24">
        <f>=IFERROR(VLOOKUP(VALUE(LEFT(S24,3)),料號對照!$A:$B,2,0),IFERROR(VLOOKUP(VALUE(LEFT(S24,1)),料號對照!$A:$B,2,0),""))</f>
      </c>
    </row>
    <row r="25">
      <c r="N25">
        <f>=IFERROR(VLOOKUP(VALUE(LEFT(M25,3)),料號對照!$A:$B,2,0),IFERROR(VLOOKUP(VALUE(LEFT(M25,1)),料號對照!$A:$B,2,0),""))</f>
      </c>
      <c r="Q25">
        <f>=IFERROR(VLOOKUP(VALUE(LEFT(P25,3)),料號對照!$A:$B,2,0),IFERROR(VLOOKUP(VALUE(LEFT(P25,1)),料號對照!$A:$B,2,0),""))</f>
      </c>
      <c r="T25">
        <f>=IFERROR(VLOOKUP(VALUE(LEFT(S25,3)),料號對照!$A:$B,2,0),IFERROR(VLOOKUP(VALUE(LEFT(S25,1)),料號對照!$A:$B,2,0),""))</f>
      </c>
    </row>
    <row r="26">
      <c r="N26">
        <f>=IFERROR(VLOOKUP(VALUE(LEFT(M26,3)),料號對照!$A:$B,2,0),IFERROR(VLOOKUP(VALUE(LEFT(M26,1)),料號對照!$A:$B,2,0),""))</f>
      </c>
      <c r="Q26">
        <f>=IFERROR(VLOOKUP(VALUE(LEFT(P26,3)),料號對照!$A:$B,2,0),IFERROR(VLOOKUP(VALUE(LEFT(P26,1)),料號對照!$A:$B,2,0),""))</f>
      </c>
      <c r="T26">
        <f>=IFERROR(VLOOKUP(VALUE(LEFT(S26,3)),料號對照!$A:$B,2,0),IFERROR(VLOOKUP(VALUE(LEFT(S26,1)),料號對照!$A:$B,2,0),""))</f>
      </c>
    </row>
    <row r="27">
      <c r="N27">
        <f>=IFERROR(VLOOKUP(VALUE(LEFT(M27,3)),料號對照!$A:$B,2,0),IFERROR(VLOOKUP(VALUE(LEFT(M27,1)),料號對照!$A:$B,2,0),""))</f>
      </c>
      <c r="Q27">
        <f>=IFERROR(VLOOKUP(VALUE(LEFT(P27,3)),料號對照!$A:$B,2,0),IFERROR(VLOOKUP(VALUE(LEFT(P27,1)),料號對照!$A:$B,2,0),""))</f>
      </c>
      <c r="T27">
        <f>=IFERROR(VLOOKUP(VALUE(LEFT(S27,3)),料號對照!$A:$B,2,0),IFERROR(VLOOKUP(VALUE(LEFT(S27,1)),料號對照!$A:$B,2,0),""))</f>
      </c>
    </row>
    <row r="28">
      <c r="N28">
        <f>=IFERROR(VLOOKUP(VALUE(LEFT(M28,3)),料號對照!$A:$B,2,0),IFERROR(VLOOKUP(VALUE(LEFT(M28,1)),料號對照!$A:$B,2,0),""))</f>
      </c>
      <c r="Q28">
        <f>=IFERROR(VLOOKUP(VALUE(LEFT(P28,3)),料號對照!$A:$B,2,0),IFERROR(VLOOKUP(VALUE(LEFT(P28,1)),料號對照!$A:$B,2,0),""))</f>
      </c>
      <c r="T28">
        <f>=IFERROR(VLOOKUP(VALUE(LEFT(S28,3)),料號對照!$A:$B,2,0),IFERROR(VLOOKUP(VALUE(LEFT(S28,1)),料號對照!$A:$B,2,0),""))</f>
      </c>
    </row>
    <row r="29">
      <c r="N29">
        <f>=IFERROR(VLOOKUP(VALUE(LEFT(M29,3)),料號對照!$A:$B,2,0),IFERROR(VLOOKUP(VALUE(LEFT(M29,1)),料號對照!$A:$B,2,0),""))</f>
      </c>
      <c r="Q29">
        <f>=IFERROR(VLOOKUP(VALUE(LEFT(P29,3)),料號對照!$A:$B,2,0),IFERROR(VLOOKUP(VALUE(LEFT(P29,1)),料號對照!$A:$B,2,0),""))</f>
      </c>
      <c r="T29">
        <f>=IFERROR(VLOOKUP(VALUE(LEFT(S29,3)),料號對照!$A:$B,2,0),IFERROR(VLOOKUP(VALUE(LEFT(S29,1)),料號對照!$A:$B,2,0),""))</f>
      </c>
    </row>
    <row r="30">
      <c r="N30">
        <f>=IFERROR(VLOOKUP(VALUE(LEFT(M30,3)),料號對照!$A:$B,2,0),IFERROR(VLOOKUP(VALUE(LEFT(M30,1)),料號對照!$A:$B,2,0),""))</f>
      </c>
      <c r="Q30">
        <f>=IFERROR(VLOOKUP(VALUE(LEFT(P30,3)),料號對照!$A:$B,2,0),IFERROR(VLOOKUP(VALUE(LEFT(P30,1)),料號對照!$A:$B,2,0),""))</f>
      </c>
      <c r="T30">
        <f>=IFERROR(VLOOKUP(VALUE(LEFT(S30,3)),料號對照!$A:$B,2,0),IFERROR(VLOOKUP(VALUE(LEFT(S30,1)),料號對照!$A:$B,2,0),""))</f>
      </c>
    </row>
    <row r="31">
      <c r="N31">
        <f>=IFERROR(VLOOKUP(VALUE(LEFT(M31,3)),料號對照!$A:$B,2,0),IFERROR(VLOOKUP(VALUE(LEFT(M31,1)),料號對照!$A:$B,2,0),""))</f>
      </c>
      <c r="Q31">
        <f>=IFERROR(VLOOKUP(VALUE(LEFT(P31,3)),料號對照!$A:$B,2,0),IFERROR(VLOOKUP(VALUE(LEFT(P31,1)),料號對照!$A:$B,2,0),""))</f>
      </c>
      <c r="T31">
        <f>=IFERROR(VLOOKUP(VALUE(LEFT(S31,3)),料號對照!$A:$B,2,0),IFERROR(VLOOKUP(VALUE(LEFT(S31,1)),料號對照!$A:$B,2,0),""))</f>
      </c>
    </row>
    <row r="32">
      <c r="N32">
        <f>=IFERROR(VLOOKUP(VALUE(LEFT(M32,3)),料號對照!$A:$B,2,0),IFERROR(VLOOKUP(VALUE(LEFT(M32,1)),料號對照!$A:$B,2,0),""))</f>
      </c>
      <c r="Q32">
        <f>=IFERROR(VLOOKUP(VALUE(LEFT(P32,3)),料號對照!$A:$B,2,0),IFERROR(VLOOKUP(VALUE(LEFT(P32,1)),料號對照!$A:$B,2,0),""))</f>
      </c>
      <c r="T32">
        <f>=IFERROR(VLOOKUP(VALUE(LEFT(S32,3)),料號對照!$A:$B,2,0),IFERROR(VLOOKUP(VALUE(LEFT(S32,1)),料號對照!$A:$B,2,0),""))</f>
      </c>
    </row>
    <row r="33">
      <c r="N33">
        <f>=IFERROR(VLOOKUP(VALUE(LEFT(M33,3)),料號對照!$A:$B,2,0),IFERROR(VLOOKUP(VALUE(LEFT(M33,1)),料號對照!$A:$B,2,0),""))</f>
      </c>
      <c r="Q33">
        <f>=IFERROR(VLOOKUP(VALUE(LEFT(P33,3)),料號對照!$A:$B,2,0),IFERROR(VLOOKUP(VALUE(LEFT(P33,1)),料號對照!$A:$B,2,0),""))</f>
      </c>
      <c r="T33">
        <f>=IFERROR(VLOOKUP(VALUE(LEFT(S33,3)),料號對照!$A:$B,2,0),IFERROR(VLOOKUP(VALUE(LEFT(S33,1)),料號對照!$A:$B,2,0),""))</f>
      </c>
    </row>
    <row r="34">
      <c r="N34">
        <f>=IFERROR(VLOOKUP(VALUE(LEFT(M34,3)),料號對照!$A:$B,2,0),IFERROR(VLOOKUP(VALUE(LEFT(M34,1)),料號對照!$A:$B,2,0),""))</f>
      </c>
      <c r="Q34">
        <f>=IFERROR(VLOOKUP(VALUE(LEFT(P34,3)),料號對照!$A:$B,2,0),IFERROR(VLOOKUP(VALUE(LEFT(P34,1)),料號對照!$A:$B,2,0),""))</f>
      </c>
      <c r="T34">
        <f>=IFERROR(VLOOKUP(VALUE(LEFT(S34,3)),料號對照!$A:$B,2,0),IFERROR(VLOOKUP(VALUE(LEFT(S34,1)),料號對照!$A:$B,2,0),""))</f>
      </c>
    </row>
    <row r="35">
      <c r="N35">
        <f>=IFERROR(VLOOKUP(VALUE(LEFT(M35,3)),料號對照!$A:$B,2,0),IFERROR(VLOOKUP(VALUE(LEFT(M35,1)),料號對照!$A:$B,2,0),""))</f>
      </c>
      <c r="Q35">
        <f>=IFERROR(VLOOKUP(VALUE(LEFT(P35,3)),料號對照!$A:$B,2,0),IFERROR(VLOOKUP(VALUE(LEFT(P35,1)),料號對照!$A:$B,2,0),""))</f>
      </c>
      <c r="T35">
        <f>=IFERROR(VLOOKUP(VALUE(LEFT(S35,3)),料號對照!$A:$B,2,0),IFERROR(VLOOKUP(VALUE(LEFT(S35,1)),料號對照!$A:$B,2,0),""))</f>
      </c>
    </row>
    <row r="36">
      <c r="N36">
        <f>=IFERROR(VLOOKUP(VALUE(LEFT(M36,3)),料號對照!$A:$B,2,0),IFERROR(VLOOKUP(VALUE(LEFT(M36,1)),料號對照!$A:$B,2,0),""))</f>
      </c>
      <c r="Q36">
        <f>=IFERROR(VLOOKUP(VALUE(LEFT(P36,3)),料號對照!$A:$B,2,0),IFERROR(VLOOKUP(VALUE(LEFT(P36,1)),料號對照!$A:$B,2,0),""))</f>
      </c>
      <c r="T36">
        <f>=IFERROR(VLOOKUP(VALUE(LEFT(S36,3)),料號對照!$A:$B,2,0),IFERROR(VLOOKUP(VALUE(LEFT(S36,1)),料號對照!$A:$B,2,0),""))</f>
      </c>
    </row>
    <row r="37">
      <c r="N37">
        <f>=IFERROR(VLOOKUP(VALUE(LEFT(M37,3)),料號對照!$A:$B,2,0),IFERROR(VLOOKUP(VALUE(LEFT(M37,1)),料號對照!$A:$B,2,0),""))</f>
      </c>
      <c r="Q37">
        <f>=IFERROR(VLOOKUP(VALUE(LEFT(P37,3)),料號對照!$A:$B,2,0),IFERROR(VLOOKUP(VALUE(LEFT(P37,1)),料號對照!$A:$B,2,0),""))</f>
      </c>
      <c r="T37">
        <f>=IFERROR(VLOOKUP(VALUE(LEFT(S37,3)),料號對照!$A:$B,2,0),IFERROR(VLOOKUP(VALUE(LEFT(S37,1)),料號對照!$A:$B,2,0),""))</f>
      </c>
    </row>
    <row r="38">
      <c r="N38">
        <f>=IFERROR(VLOOKUP(VALUE(LEFT(M38,3)),料號對照!$A:$B,2,0),IFERROR(VLOOKUP(VALUE(LEFT(M38,1)),料號對照!$A:$B,2,0),""))</f>
      </c>
      <c r="Q38">
        <f>=IFERROR(VLOOKUP(VALUE(LEFT(P38,3)),料號對照!$A:$B,2,0),IFERROR(VLOOKUP(VALUE(LEFT(P38,1)),料號對照!$A:$B,2,0),""))</f>
      </c>
      <c r="T38">
        <f>=IFERROR(VLOOKUP(VALUE(LEFT(S38,3)),料號對照!$A:$B,2,0),IFERROR(VLOOKUP(VALUE(LEFT(S38,1)),料號對照!$A:$B,2,0),""))</f>
      </c>
    </row>
    <row r="39">
      <c r="N39">
        <f>=IFERROR(VLOOKUP(VALUE(LEFT(M39,3)),料號對照!$A:$B,2,0),IFERROR(VLOOKUP(VALUE(LEFT(M39,1)),料號對照!$A:$B,2,0),""))</f>
      </c>
      <c r="Q39">
        <f>=IFERROR(VLOOKUP(VALUE(LEFT(P39,3)),料號對照!$A:$B,2,0),IFERROR(VLOOKUP(VALUE(LEFT(P39,1)),料號對照!$A:$B,2,0),""))</f>
      </c>
      <c r="T39">
        <f>=IFERROR(VLOOKUP(VALUE(LEFT(S39,3)),料號對照!$A:$B,2,0),IFERROR(VLOOKUP(VALUE(LEFT(S39,1)),料號對照!$A:$B,2,0),""))</f>
      </c>
    </row>
    <row r="40">
      <c r="N40">
        <f>=IFERROR(VLOOKUP(VALUE(LEFT(M40,3)),料號對照!$A:$B,2,0),IFERROR(VLOOKUP(VALUE(LEFT(M40,1)),料號對照!$A:$B,2,0),""))</f>
      </c>
      <c r="Q40">
        <f>=IFERROR(VLOOKUP(VALUE(LEFT(P40,3)),料號對照!$A:$B,2,0),IFERROR(VLOOKUP(VALUE(LEFT(P40,1)),料號對照!$A:$B,2,0),""))</f>
      </c>
      <c r="T40">
        <f>=IFERROR(VLOOKUP(VALUE(LEFT(S40,3)),料號對照!$A:$B,2,0),IFERROR(VLOOKUP(VALUE(LEFT(S40,1)),料號對照!$A:$B,2,0),""))</f>
      </c>
    </row>
    <row r="41">
      <c r="N41">
        <f>=IFERROR(VLOOKUP(VALUE(LEFT(M41,3)),料號對照!$A:$B,2,0),IFERROR(VLOOKUP(VALUE(LEFT(M41,1)),料號對照!$A:$B,2,0),""))</f>
      </c>
      <c r="Q41">
        <f>=IFERROR(VLOOKUP(VALUE(LEFT(P41,3)),料號對照!$A:$B,2,0),IFERROR(VLOOKUP(VALUE(LEFT(P41,1)),料號對照!$A:$B,2,0),""))</f>
      </c>
      <c r="T41">
        <f>=IFERROR(VLOOKUP(VALUE(LEFT(S41,3)),料號對照!$A:$B,2,0),IFERROR(VLOOKUP(VALUE(LEFT(S41,1)),料號對照!$A:$B,2,0),""))</f>
      </c>
    </row>
    <row r="42">
      <c r="N42">
        <f>=IFERROR(VLOOKUP(VALUE(LEFT(M42,3)),料號對照!$A:$B,2,0),IFERROR(VLOOKUP(VALUE(LEFT(M42,1)),料號對照!$A:$B,2,0),""))</f>
      </c>
      <c r="Q42">
        <f>=IFERROR(VLOOKUP(VALUE(LEFT(P42,3)),料號對照!$A:$B,2,0),IFERROR(VLOOKUP(VALUE(LEFT(P42,1)),料號對照!$A:$B,2,0),""))</f>
      </c>
      <c r="T42">
        <f>=IFERROR(VLOOKUP(VALUE(LEFT(S42,3)),料號對照!$A:$B,2,0),IFERROR(VLOOKUP(VALUE(LEFT(S42,1)),料號對照!$A:$B,2,0),""))</f>
      </c>
    </row>
    <row r="43">
      <c r="N43">
        <f>=IFERROR(VLOOKUP(VALUE(LEFT(M43,3)),料號對照!$A:$B,2,0),IFERROR(VLOOKUP(VALUE(LEFT(M43,1)),料號對照!$A:$B,2,0),""))</f>
      </c>
      <c r="Q43">
        <f>=IFERROR(VLOOKUP(VALUE(LEFT(P43,3)),料號對照!$A:$B,2,0),IFERROR(VLOOKUP(VALUE(LEFT(P43,1)),料號對照!$A:$B,2,0),""))</f>
      </c>
      <c r="T43">
        <f>=IFERROR(VLOOKUP(VALUE(LEFT(S43,3)),料號對照!$A:$B,2,0),IFERROR(VLOOKUP(VALUE(LEFT(S43,1)),料號對照!$A:$B,2,0),""))</f>
      </c>
    </row>
    <row r="44">
      <c r="N44">
        <f>=IFERROR(VLOOKUP(VALUE(LEFT(M44,3)),料號對照!$A:$B,2,0),IFERROR(VLOOKUP(VALUE(LEFT(M44,1)),料號對照!$A:$B,2,0),""))</f>
      </c>
      <c r="Q44">
        <f>=IFERROR(VLOOKUP(VALUE(LEFT(P44,3)),料號對照!$A:$B,2,0),IFERROR(VLOOKUP(VALUE(LEFT(P44,1)),料號對照!$A:$B,2,0),""))</f>
      </c>
      <c r="T44">
        <f>=IFERROR(VLOOKUP(VALUE(LEFT(S44,3)),料號對照!$A:$B,2,0),IFERROR(VLOOKUP(VALUE(LEFT(S44,1)),料號對照!$A:$B,2,0),""))</f>
      </c>
    </row>
    <row r="45">
      <c r="N45">
        <f>=IFERROR(VLOOKUP(VALUE(LEFT(M45,3)),料號對照!$A:$B,2,0),IFERROR(VLOOKUP(VALUE(LEFT(M45,1)),料號對照!$A:$B,2,0),""))</f>
      </c>
      <c r="Q45">
        <f>=IFERROR(VLOOKUP(VALUE(LEFT(P45,3)),料號對照!$A:$B,2,0),IFERROR(VLOOKUP(VALUE(LEFT(P45,1)),料號對照!$A:$B,2,0),""))</f>
      </c>
      <c r="T45">
        <f>=IFERROR(VLOOKUP(VALUE(LEFT(S45,3)),料號對照!$A:$B,2,0),IFERROR(VLOOKUP(VALUE(LEFT(S45,1)),料號對照!$A:$B,2,0),""))</f>
      </c>
    </row>
    <row r="46">
      <c r="N46">
        <f>=IFERROR(VLOOKUP(VALUE(LEFT(M46,3)),料號對照!$A:$B,2,0),IFERROR(VLOOKUP(VALUE(LEFT(M46,1)),料號對照!$A:$B,2,0),""))</f>
      </c>
      <c r="Q46">
        <f>=IFERROR(VLOOKUP(VALUE(LEFT(P46,3)),料號對照!$A:$B,2,0),IFERROR(VLOOKUP(VALUE(LEFT(P46,1)),料號對照!$A:$B,2,0),""))</f>
      </c>
      <c r="T46">
        <f>=IFERROR(VLOOKUP(VALUE(LEFT(S46,3)),料號對照!$A:$B,2,0),IFERROR(VLOOKUP(VALUE(LEFT(S46,1)),料號對照!$A:$B,2,0),""))</f>
      </c>
    </row>
    <row r="47">
      <c r="N47">
        <f>=IFERROR(VLOOKUP(VALUE(LEFT(M47,3)),料號對照!$A:$B,2,0),IFERROR(VLOOKUP(VALUE(LEFT(M47,1)),料號對照!$A:$B,2,0),""))</f>
      </c>
      <c r="Q47">
        <f>=IFERROR(VLOOKUP(VALUE(LEFT(P47,3)),料號對照!$A:$B,2,0),IFERROR(VLOOKUP(VALUE(LEFT(P47,1)),料號對照!$A:$B,2,0),""))</f>
      </c>
      <c r="T47">
        <f>=IFERROR(VLOOKUP(VALUE(LEFT(S47,3)),料號對照!$A:$B,2,0),IFERROR(VLOOKUP(VALUE(LEFT(S47,1)),料號對照!$A:$B,2,0),""))</f>
      </c>
    </row>
    <row r="48">
      <c r="N48">
        <f>=IFERROR(VLOOKUP(VALUE(LEFT(M48,3)),料號對照!$A:$B,2,0),IFERROR(VLOOKUP(VALUE(LEFT(M48,1)),料號對照!$A:$B,2,0),""))</f>
      </c>
      <c r="Q48">
        <f>=IFERROR(VLOOKUP(VALUE(LEFT(P48,3)),料號對照!$A:$B,2,0),IFERROR(VLOOKUP(VALUE(LEFT(P48,1)),料號對照!$A:$B,2,0),""))</f>
      </c>
      <c r="T48">
        <f>=IFERROR(VLOOKUP(VALUE(LEFT(S48,3)),料號對照!$A:$B,2,0),IFERROR(VLOOKUP(VALUE(LEFT(S48,1)),料號對照!$A:$B,2,0),""))</f>
      </c>
    </row>
    <row r="49">
      <c r="N49">
        <f>=IFERROR(VLOOKUP(VALUE(LEFT(M49,3)),料號對照!$A:$B,2,0),IFERROR(VLOOKUP(VALUE(LEFT(M49,1)),料號對照!$A:$B,2,0),""))</f>
      </c>
      <c r="Q49">
        <f>=IFERROR(VLOOKUP(VALUE(LEFT(P49,3)),料號對照!$A:$B,2,0),IFERROR(VLOOKUP(VALUE(LEFT(P49,1)),料號對照!$A:$B,2,0),""))</f>
      </c>
      <c r="T49">
        <f>=IFERROR(VLOOKUP(VALUE(LEFT(S49,3)),料號對照!$A:$B,2,0),IFERROR(VLOOKUP(VALUE(LEFT(S49,1)),料號對照!$A:$B,2,0),""))</f>
      </c>
    </row>
    <row r="50">
      <c r="N50">
        <f>=IFERROR(VLOOKUP(VALUE(LEFT(M50,3)),料號對照!$A:$B,2,0),IFERROR(VLOOKUP(VALUE(LEFT(M50,1)),料號對照!$A:$B,2,0),""))</f>
      </c>
      <c r="Q50">
        <f>=IFERROR(VLOOKUP(VALUE(LEFT(P50,3)),料號對照!$A:$B,2,0),IFERROR(VLOOKUP(VALUE(LEFT(P50,1)),料號對照!$A:$B,2,0),""))</f>
      </c>
      <c r="T50">
        <f>=IFERROR(VLOOKUP(VALUE(LEFT(S50,3)),料號對照!$A:$B,2,0),IFERROR(VLOOKUP(VALUE(LEFT(S50,1)),料號對照!$A:$B,2,0),""))</f>
      </c>
    </row>
    <row r="51">
      <c r="N51">
        <f>=IFERROR(VLOOKUP(VALUE(LEFT(M51,3)),料號對照!$A:$B,2,0),IFERROR(VLOOKUP(VALUE(LEFT(M51,1)),料號對照!$A:$B,2,0),""))</f>
      </c>
      <c r="Q51">
        <f>=IFERROR(VLOOKUP(VALUE(LEFT(P51,3)),料號對照!$A:$B,2,0),IFERROR(VLOOKUP(VALUE(LEFT(P51,1)),料號對照!$A:$B,2,0),""))</f>
      </c>
      <c r="T51">
        <f>=IFERROR(VLOOKUP(VALUE(LEFT(S51,3)),料號對照!$A:$B,2,0),IFERROR(VLOOKUP(VALUE(LEFT(S51,1)),料號對照!$A:$B,2,0),""))</f>
      </c>
    </row>
    <row r="52">
      <c r="N52">
        <f>=IFERROR(VLOOKUP(VALUE(LEFT(M52,3)),料號對照!$A:$B,2,0),IFERROR(VLOOKUP(VALUE(LEFT(M52,1)),料號對照!$A:$B,2,0),""))</f>
      </c>
      <c r="Q52">
        <f>=IFERROR(VLOOKUP(VALUE(LEFT(P52,3)),料號對照!$A:$B,2,0),IFERROR(VLOOKUP(VALUE(LEFT(P52,1)),料號對照!$A:$B,2,0),""))</f>
      </c>
      <c r="T52">
        <f>=IFERROR(VLOOKUP(VALUE(LEFT(S52,3)),料號對照!$A:$B,2,0),IFERROR(VLOOKUP(VALUE(LEFT(S52,1)),料號對照!$A:$B,2,0),""))</f>
      </c>
    </row>
    <row r="53">
      <c r="N53">
        <f>=IFERROR(VLOOKUP(VALUE(LEFT(M53,3)),料號對照!$A:$B,2,0),IFERROR(VLOOKUP(VALUE(LEFT(M53,1)),料號對照!$A:$B,2,0),""))</f>
      </c>
      <c r="Q53">
        <f>=IFERROR(VLOOKUP(VALUE(LEFT(P53,3)),料號對照!$A:$B,2,0),IFERROR(VLOOKUP(VALUE(LEFT(P53,1)),料號對照!$A:$B,2,0),""))</f>
      </c>
      <c r="T53">
        <f>=IFERROR(VLOOKUP(VALUE(LEFT(S53,3)),料號對照!$A:$B,2,0),IFERROR(VLOOKUP(VALUE(LEFT(S53,1)),料號對照!$A:$B,2,0),""))</f>
      </c>
    </row>
    <row r="54">
      <c r="N54">
        <f>=IFERROR(VLOOKUP(VALUE(LEFT(M54,3)),料號對照!$A:$B,2,0),IFERROR(VLOOKUP(VALUE(LEFT(M54,1)),料號對照!$A:$B,2,0),""))</f>
      </c>
      <c r="Q54">
        <f>=IFERROR(VLOOKUP(VALUE(LEFT(P54,3)),料號對照!$A:$B,2,0),IFERROR(VLOOKUP(VALUE(LEFT(P54,1)),料號對照!$A:$B,2,0),""))</f>
      </c>
      <c r="T54">
        <f>=IFERROR(VLOOKUP(VALUE(LEFT(S54,3)),料號對照!$A:$B,2,0),IFERROR(VLOOKUP(VALUE(LEFT(S54,1)),料號對照!$A:$B,2,0),""))</f>
      </c>
    </row>
    <row r="55">
      <c r="N55">
        <f>=IFERROR(VLOOKUP(VALUE(LEFT(M55,3)),料號對照!$A:$B,2,0),IFERROR(VLOOKUP(VALUE(LEFT(M55,1)),料號對照!$A:$B,2,0),""))</f>
      </c>
      <c r="Q55">
        <f>=IFERROR(VLOOKUP(VALUE(LEFT(P55,3)),料號對照!$A:$B,2,0),IFERROR(VLOOKUP(VALUE(LEFT(P55,1)),料號對照!$A:$B,2,0),""))</f>
      </c>
      <c r="T55">
        <f>=IFERROR(VLOOKUP(VALUE(LEFT(S55,3)),料號對照!$A:$B,2,0),IFERROR(VLOOKUP(VALUE(LEFT(S55,1)),料號對照!$A:$B,2,0),""))</f>
      </c>
    </row>
    <row r="56">
      <c r="N56">
        <f>=IFERROR(VLOOKUP(VALUE(LEFT(M56,3)),料號對照!$A:$B,2,0),IFERROR(VLOOKUP(VALUE(LEFT(M56,1)),料號對照!$A:$B,2,0),""))</f>
      </c>
      <c r="Q56">
        <f>=IFERROR(VLOOKUP(VALUE(LEFT(P56,3)),料號對照!$A:$B,2,0),IFERROR(VLOOKUP(VALUE(LEFT(P56,1)),料號對照!$A:$B,2,0),""))</f>
      </c>
      <c r="T56">
        <f>=IFERROR(VLOOKUP(VALUE(LEFT(S56,3)),料號對照!$A:$B,2,0),IFERROR(VLOOKUP(VALUE(LEFT(S56,1)),料號對照!$A:$B,2,0),""))</f>
      </c>
    </row>
    <row r="57">
      <c r="N57">
        <f>=IFERROR(VLOOKUP(VALUE(LEFT(M57,3)),料號對照!$A:$B,2,0),IFERROR(VLOOKUP(VALUE(LEFT(M57,1)),料號對照!$A:$B,2,0),""))</f>
      </c>
      <c r="Q57">
        <f>=IFERROR(VLOOKUP(VALUE(LEFT(P57,3)),料號對照!$A:$B,2,0),IFERROR(VLOOKUP(VALUE(LEFT(P57,1)),料號對照!$A:$B,2,0),""))</f>
      </c>
      <c r="T57">
        <f>=IFERROR(VLOOKUP(VALUE(LEFT(S57,3)),料號對照!$A:$B,2,0),IFERROR(VLOOKUP(VALUE(LEFT(S57,1)),料號對照!$A:$B,2,0),""))</f>
      </c>
    </row>
    <row r="58">
      <c r="N58">
        <f>=IFERROR(VLOOKUP(VALUE(LEFT(M58,3)),料號對照!$A:$B,2,0),IFERROR(VLOOKUP(VALUE(LEFT(M58,1)),料號對照!$A:$B,2,0),""))</f>
      </c>
      <c r="Q58">
        <f>=IFERROR(VLOOKUP(VALUE(LEFT(P58,3)),料號對照!$A:$B,2,0),IFERROR(VLOOKUP(VALUE(LEFT(P58,1)),料號對照!$A:$B,2,0),""))</f>
      </c>
      <c r="T58">
        <f>=IFERROR(VLOOKUP(VALUE(LEFT(S58,3)),料號對照!$A:$B,2,0),IFERROR(VLOOKUP(VALUE(LEFT(S58,1)),料號對照!$A:$B,2,0),""))</f>
      </c>
    </row>
    <row r="59">
      <c r="N59">
        <f>=IFERROR(VLOOKUP(VALUE(LEFT(M59,3)),料號對照!$A:$B,2,0),IFERROR(VLOOKUP(VALUE(LEFT(M59,1)),料號對照!$A:$B,2,0),""))</f>
      </c>
      <c r="Q59">
        <f>=IFERROR(VLOOKUP(VALUE(LEFT(P59,3)),料號對照!$A:$B,2,0),IFERROR(VLOOKUP(VALUE(LEFT(P59,1)),料號對照!$A:$B,2,0),""))</f>
      </c>
      <c r="T59">
        <f>=IFERROR(VLOOKUP(VALUE(LEFT(S59,3)),料號對照!$A:$B,2,0),IFERROR(VLOOKUP(VALUE(LEFT(S59,1)),料號對照!$A:$B,2,0),""))</f>
      </c>
    </row>
    <row r="60">
      <c r="N60">
        <f>=IFERROR(VLOOKUP(VALUE(LEFT(M60,3)),料號對照!$A:$B,2,0),IFERROR(VLOOKUP(VALUE(LEFT(M60,1)),料號對照!$A:$B,2,0),""))</f>
      </c>
      <c r="Q60">
        <f>=IFERROR(VLOOKUP(VALUE(LEFT(P60,3)),料號對照!$A:$B,2,0),IFERROR(VLOOKUP(VALUE(LEFT(P60,1)),料號對照!$A:$B,2,0),""))</f>
      </c>
      <c r="T60">
        <f>=IFERROR(VLOOKUP(VALUE(LEFT(S60,3)),料號對照!$A:$B,2,0),IFERROR(VLOOKUP(VALUE(LEFT(S60,1)),料號對照!$A:$B,2,0),""))</f>
      </c>
    </row>
    <row r="61">
      <c r="N61">
        <f>=IFERROR(VLOOKUP(VALUE(LEFT(M61,3)),料號對照!$A:$B,2,0),IFERROR(VLOOKUP(VALUE(LEFT(M61,1)),料號對照!$A:$B,2,0),""))</f>
      </c>
      <c r="Q61">
        <f>=IFERROR(VLOOKUP(VALUE(LEFT(P61,3)),料號對照!$A:$B,2,0),IFERROR(VLOOKUP(VALUE(LEFT(P61,1)),料號對照!$A:$B,2,0),""))</f>
      </c>
      <c r="T61">
        <f>=IFERROR(VLOOKUP(VALUE(LEFT(S61,3)),料號對照!$A:$B,2,0),IFERROR(VLOOKUP(VALUE(LEFT(S61,1)),料號對照!$A:$B,2,0),""))</f>
      </c>
    </row>
    <row r="62">
      <c r="N62">
        <f>=IFERROR(VLOOKUP(VALUE(LEFT(M62,3)),料號對照!$A:$B,2,0),IFERROR(VLOOKUP(VALUE(LEFT(M62,1)),料號對照!$A:$B,2,0),""))</f>
      </c>
      <c r="Q62">
        <f>=IFERROR(VLOOKUP(VALUE(LEFT(P62,3)),料號對照!$A:$B,2,0),IFERROR(VLOOKUP(VALUE(LEFT(P62,1)),料號對照!$A:$B,2,0),""))</f>
      </c>
      <c r="T62">
        <f>=IFERROR(VLOOKUP(VALUE(LEFT(S62,3)),料號對照!$A:$B,2,0),IFERROR(VLOOKUP(VALUE(LEFT(S62,1)),料號對照!$A:$B,2,0),""))</f>
      </c>
    </row>
    <row r="63">
      <c r="N63">
        <f>=IFERROR(VLOOKUP(VALUE(LEFT(M63,3)),料號對照!$A:$B,2,0),IFERROR(VLOOKUP(VALUE(LEFT(M63,1)),料號對照!$A:$B,2,0),""))</f>
      </c>
      <c r="Q63">
        <f>=IFERROR(VLOOKUP(VALUE(LEFT(P63,3)),料號對照!$A:$B,2,0),IFERROR(VLOOKUP(VALUE(LEFT(P63,1)),料號對照!$A:$B,2,0),""))</f>
      </c>
      <c r="T63">
        <f>=IFERROR(VLOOKUP(VALUE(LEFT(S63,3)),料號對照!$A:$B,2,0),IFERROR(VLOOKUP(VALUE(LEFT(S63,1)),料號對照!$A:$B,2,0),""))</f>
      </c>
    </row>
    <row r="64">
      <c r="N64">
        <f>=IFERROR(VLOOKUP(VALUE(LEFT(M64,3)),料號對照!$A:$B,2,0),IFERROR(VLOOKUP(VALUE(LEFT(M64,1)),料號對照!$A:$B,2,0),""))</f>
      </c>
      <c r="Q64">
        <f>=IFERROR(VLOOKUP(VALUE(LEFT(P64,3)),料號對照!$A:$B,2,0),IFERROR(VLOOKUP(VALUE(LEFT(P64,1)),料號對照!$A:$B,2,0),""))</f>
      </c>
      <c r="T64">
        <f>=IFERROR(VLOOKUP(VALUE(LEFT(S64,3)),料號對照!$A:$B,2,0),IFERROR(VLOOKUP(VALUE(LEFT(S64,1)),料號對照!$A:$B,2,0),""))</f>
      </c>
    </row>
    <row r="65">
      <c r="N65">
        <f>=IFERROR(VLOOKUP(VALUE(LEFT(M65,3)),料號對照!$A:$B,2,0),IFERROR(VLOOKUP(VALUE(LEFT(M65,1)),料號對照!$A:$B,2,0),""))</f>
      </c>
      <c r="Q65">
        <f>=IFERROR(VLOOKUP(VALUE(LEFT(P65,3)),料號對照!$A:$B,2,0),IFERROR(VLOOKUP(VALUE(LEFT(P65,1)),料號對照!$A:$B,2,0),""))</f>
      </c>
      <c r="T65">
        <f>=IFERROR(VLOOKUP(VALUE(LEFT(S65,3)),料號對照!$A:$B,2,0),IFERROR(VLOOKUP(VALUE(LEFT(S65,1)),料號對照!$A:$B,2,0),""))</f>
      </c>
    </row>
    <row r="66">
      <c r="N66">
        <f>=IFERROR(VLOOKUP(VALUE(LEFT(M66,3)),料號對照!$A:$B,2,0),IFERROR(VLOOKUP(VALUE(LEFT(M66,1)),料號對照!$A:$B,2,0),""))</f>
      </c>
      <c r="Q66">
        <f>=IFERROR(VLOOKUP(VALUE(LEFT(P66,3)),料號對照!$A:$B,2,0),IFERROR(VLOOKUP(VALUE(LEFT(P66,1)),料號對照!$A:$B,2,0),""))</f>
      </c>
      <c r="T66">
        <f>=IFERROR(VLOOKUP(VALUE(LEFT(S66,3)),料號對照!$A:$B,2,0),IFERROR(VLOOKUP(VALUE(LEFT(S66,1)),料號對照!$A:$B,2,0),""))</f>
      </c>
    </row>
    <row r="67">
      <c r="N67">
        <f>=IFERROR(VLOOKUP(VALUE(LEFT(M67,3)),料號對照!$A:$B,2,0),IFERROR(VLOOKUP(VALUE(LEFT(M67,1)),料號對照!$A:$B,2,0),""))</f>
      </c>
      <c r="Q67">
        <f>=IFERROR(VLOOKUP(VALUE(LEFT(P67,3)),料號對照!$A:$B,2,0),IFERROR(VLOOKUP(VALUE(LEFT(P67,1)),料號對照!$A:$B,2,0),""))</f>
      </c>
      <c r="T67">
        <f>=IFERROR(VLOOKUP(VALUE(LEFT(S67,3)),料號對照!$A:$B,2,0),IFERROR(VLOOKUP(VALUE(LEFT(S67,1)),料號對照!$A:$B,2,0),""))</f>
      </c>
    </row>
    <row r="68">
      <c r="N68">
        <f>=IFERROR(VLOOKUP(VALUE(LEFT(M68,3)),料號對照!$A:$B,2,0),IFERROR(VLOOKUP(VALUE(LEFT(M68,1)),料號對照!$A:$B,2,0),""))</f>
      </c>
      <c r="Q68">
        <f>=IFERROR(VLOOKUP(VALUE(LEFT(P68,3)),料號對照!$A:$B,2,0),IFERROR(VLOOKUP(VALUE(LEFT(P68,1)),料號對照!$A:$B,2,0),""))</f>
      </c>
      <c r="T68">
        <f>=IFERROR(VLOOKUP(VALUE(LEFT(S68,3)),料號對照!$A:$B,2,0),IFERROR(VLOOKUP(VALUE(LEFT(S68,1)),料號對照!$A:$B,2,0),""))</f>
      </c>
    </row>
    <row r="69">
      <c r="N69">
        <f>=IFERROR(VLOOKUP(VALUE(LEFT(M69,3)),料號對照!$A:$B,2,0),IFERROR(VLOOKUP(VALUE(LEFT(M69,1)),料號對照!$A:$B,2,0),""))</f>
      </c>
      <c r="Q69">
        <f>=IFERROR(VLOOKUP(VALUE(LEFT(P69,3)),料號對照!$A:$B,2,0),IFERROR(VLOOKUP(VALUE(LEFT(P69,1)),料號對照!$A:$B,2,0),""))</f>
      </c>
      <c r="T69">
        <f>=IFERROR(VLOOKUP(VALUE(LEFT(S69,3)),料號對照!$A:$B,2,0),IFERROR(VLOOKUP(VALUE(LEFT(S69,1)),料號對照!$A:$B,2,0),""))</f>
      </c>
    </row>
    <row r="70">
      <c r="N70">
        <f>=IFERROR(VLOOKUP(VALUE(LEFT(M70,3)),料號對照!$A:$B,2,0),IFERROR(VLOOKUP(VALUE(LEFT(M70,1)),料號對照!$A:$B,2,0),""))</f>
      </c>
      <c r="Q70">
        <f>=IFERROR(VLOOKUP(VALUE(LEFT(P70,3)),料號對照!$A:$B,2,0),IFERROR(VLOOKUP(VALUE(LEFT(P70,1)),料號對照!$A:$B,2,0),""))</f>
      </c>
      <c r="T70">
        <f>=IFERROR(VLOOKUP(VALUE(LEFT(S70,3)),料號對照!$A:$B,2,0),IFERROR(VLOOKUP(VALUE(LEFT(S70,1)),料號對照!$A:$B,2,0),""))</f>
      </c>
    </row>
    <row r="71">
      <c r="N71">
        <f>=IFERROR(VLOOKUP(VALUE(LEFT(M71,3)),料號對照!$A:$B,2,0),IFERROR(VLOOKUP(VALUE(LEFT(M71,1)),料號對照!$A:$B,2,0),""))</f>
      </c>
      <c r="Q71">
        <f>=IFERROR(VLOOKUP(VALUE(LEFT(P71,3)),料號對照!$A:$B,2,0),IFERROR(VLOOKUP(VALUE(LEFT(P71,1)),料號對照!$A:$B,2,0),""))</f>
      </c>
      <c r="T71">
        <f>=IFERROR(VLOOKUP(VALUE(LEFT(S71,3)),料號對照!$A:$B,2,0),IFERROR(VLOOKUP(VALUE(LEFT(S71,1)),料號對照!$A:$B,2,0),""))</f>
      </c>
    </row>
    <row r="72">
      <c r="N72">
        <f>=IFERROR(VLOOKUP(VALUE(LEFT(M72,3)),料號對照!$A:$B,2,0),IFERROR(VLOOKUP(VALUE(LEFT(M72,1)),料號對照!$A:$B,2,0),""))</f>
      </c>
      <c r="Q72">
        <f>=IFERROR(VLOOKUP(VALUE(LEFT(P72,3)),料號對照!$A:$B,2,0),IFERROR(VLOOKUP(VALUE(LEFT(P72,1)),料號對照!$A:$B,2,0),""))</f>
      </c>
      <c r="T72">
        <f>=IFERROR(VLOOKUP(VALUE(LEFT(S72,3)),料號對照!$A:$B,2,0),IFERROR(VLOOKUP(VALUE(LEFT(S72,1)),料號對照!$A:$B,2,0),""))</f>
      </c>
    </row>
    <row r="73">
      <c r="N73">
        <f>=IFERROR(VLOOKUP(VALUE(LEFT(M73,3)),料號對照!$A:$B,2,0),IFERROR(VLOOKUP(VALUE(LEFT(M73,1)),料號對照!$A:$B,2,0),""))</f>
      </c>
      <c r="Q73">
        <f>=IFERROR(VLOOKUP(VALUE(LEFT(P73,3)),料號對照!$A:$B,2,0),IFERROR(VLOOKUP(VALUE(LEFT(P73,1)),料號對照!$A:$B,2,0),""))</f>
      </c>
      <c r="T73">
        <f>=IFERROR(VLOOKUP(VALUE(LEFT(S73,3)),料號對照!$A:$B,2,0),IFERROR(VLOOKUP(VALUE(LEFT(S73,1)),料號對照!$A:$B,2,0),""))</f>
      </c>
    </row>
    <row r="74">
      <c r="N74">
        <f>=IFERROR(VLOOKUP(VALUE(LEFT(M74,3)),料號對照!$A:$B,2,0),IFERROR(VLOOKUP(VALUE(LEFT(M74,1)),料號對照!$A:$B,2,0),""))</f>
      </c>
      <c r="Q74">
        <f>=IFERROR(VLOOKUP(VALUE(LEFT(P74,3)),料號對照!$A:$B,2,0),IFERROR(VLOOKUP(VALUE(LEFT(P74,1)),料號對照!$A:$B,2,0),""))</f>
      </c>
      <c r="T74">
        <f>=IFERROR(VLOOKUP(VALUE(LEFT(S74,3)),料號對照!$A:$B,2,0),IFERROR(VLOOKUP(VALUE(LEFT(S74,1)),料號對照!$A:$B,2,0),""))</f>
      </c>
    </row>
    <row r="75">
      <c r="N75">
        <f>=IFERROR(VLOOKUP(VALUE(LEFT(M75,3)),料號對照!$A:$B,2,0),IFERROR(VLOOKUP(VALUE(LEFT(M75,1)),料號對照!$A:$B,2,0),""))</f>
      </c>
      <c r="Q75">
        <f>=IFERROR(VLOOKUP(VALUE(LEFT(P75,3)),料號對照!$A:$B,2,0),IFERROR(VLOOKUP(VALUE(LEFT(P75,1)),料號對照!$A:$B,2,0),""))</f>
      </c>
      <c r="T75">
        <f>=IFERROR(VLOOKUP(VALUE(LEFT(S75,3)),料號對照!$A:$B,2,0),IFERROR(VLOOKUP(VALUE(LEFT(S75,1)),料號對照!$A:$B,2,0),""))</f>
      </c>
    </row>
    <row r="76">
      <c r="N76">
        <f>=IFERROR(VLOOKUP(VALUE(LEFT(M76,3)),料號對照!$A:$B,2,0),IFERROR(VLOOKUP(VALUE(LEFT(M76,1)),料號對照!$A:$B,2,0),""))</f>
      </c>
      <c r="Q76">
        <f>=IFERROR(VLOOKUP(VALUE(LEFT(P76,3)),料號對照!$A:$B,2,0),IFERROR(VLOOKUP(VALUE(LEFT(P76,1)),料號對照!$A:$B,2,0),""))</f>
      </c>
      <c r="T76">
        <f>=IFERROR(VLOOKUP(VALUE(LEFT(S76,3)),料號對照!$A:$B,2,0),IFERROR(VLOOKUP(VALUE(LEFT(S76,1)),料號對照!$A:$B,2,0),""))</f>
      </c>
    </row>
    <row r="77">
      <c r="N77">
        <f>=IFERROR(VLOOKUP(VALUE(LEFT(M77,3)),料號對照!$A:$B,2,0),IFERROR(VLOOKUP(VALUE(LEFT(M77,1)),料號對照!$A:$B,2,0),""))</f>
      </c>
      <c r="Q77">
        <f>=IFERROR(VLOOKUP(VALUE(LEFT(P77,3)),料號對照!$A:$B,2,0),IFERROR(VLOOKUP(VALUE(LEFT(P77,1)),料號對照!$A:$B,2,0),""))</f>
      </c>
      <c r="T77">
        <f>=IFERROR(VLOOKUP(VALUE(LEFT(S77,3)),料號對照!$A:$B,2,0),IFERROR(VLOOKUP(VALUE(LEFT(S77,1)),料號對照!$A:$B,2,0),""))</f>
      </c>
    </row>
    <row r="78">
      <c r="N78">
        <f>=IFERROR(VLOOKUP(VALUE(LEFT(M78,3)),料號對照!$A:$B,2,0),IFERROR(VLOOKUP(VALUE(LEFT(M78,1)),料號對照!$A:$B,2,0),""))</f>
      </c>
      <c r="Q78">
        <f>=IFERROR(VLOOKUP(VALUE(LEFT(P78,3)),料號對照!$A:$B,2,0),IFERROR(VLOOKUP(VALUE(LEFT(P78,1)),料號對照!$A:$B,2,0),""))</f>
      </c>
      <c r="T78">
        <f>=IFERROR(VLOOKUP(VALUE(LEFT(S78,3)),料號對照!$A:$B,2,0),IFERROR(VLOOKUP(VALUE(LEFT(S78,1)),料號對照!$A:$B,2,0),""))</f>
      </c>
    </row>
    <row r="79">
      <c r="N79">
        <f>=IFERROR(VLOOKUP(VALUE(LEFT(M79,3)),料號對照!$A:$B,2,0),IFERROR(VLOOKUP(VALUE(LEFT(M79,1)),料號對照!$A:$B,2,0),""))</f>
      </c>
      <c r="Q79">
        <f>=IFERROR(VLOOKUP(VALUE(LEFT(P79,3)),料號對照!$A:$B,2,0),IFERROR(VLOOKUP(VALUE(LEFT(P79,1)),料號對照!$A:$B,2,0),""))</f>
      </c>
      <c r="T79">
        <f>=IFERROR(VLOOKUP(VALUE(LEFT(S79,3)),料號對照!$A:$B,2,0),IFERROR(VLOOKUP(VALUE(LEFT(S79,1)),料號對照!$A:$B,2,0),""))</f>
      </c>
    </row>
    <row r="80">
      <c r="N80">
        <f>=IFERROR(VLOOKUP(VALUE(LEFT(M80,3)),料號對照!$A:$B,2,0),IFERROR(VLOOKUP(VALUE(LEFT(M80,1)),料號對照!$A:$B,2,0),""))</f>
      </c>
      <c r="Q80">
        <f>=IFERROR(VLOOKUP(VALUE(LEFT(P80,3)),料號對照!$A:$B,2,0),IFERROR(VLOOKUP(VALUE(LEFT(P80,1)),料號對照!$A:$B,2,0),""))</f>
      </c>
      <c r="T80">
        <f>=IFERROR(VLOOKUP(VALUE(LEFT(S80,3)),料號對照!$A:$B,2,0),IFERROR(VLOOKUP(VALUE(LEFT(S80,1)),料號對照!$A:$B,2,0),""))</f>
      </c>
    </row>
    <row r="81">
      <c r="N81">
        <f>=IFERROR(VLOOKUP(VALUE(LEFT(M81,3)),料號對照!$A:$B,2,0),IFERROR(VLOOKUP(VALUE(LEFT(M81,1)),料號對照!$A:$B,2,0),""))</f>
      </c>
      <c r="Q81">
        <f>=IFERROR(VLOOKUP(VALUE(LEFT(P81,3)),料號對照!$A:$B,2,0),IFERROR(VLOOKUP(VALUE(LEFT(P81,1)),料號對照!$A:$B,2,0),""))</f>
      </c>
      <c r="T81">
        <f>=IFERROR(VLOOKUP(VALUE(LEFT(S81,3)),料號對照!$A:$B,2,0),IFERROR(VLOOKUP(VALUE(LEFT(S81,1)),料號對照!$A:$B,2,0),""))</f>
      </c>
    </row>
    <row r="82">
      <c r="N82">
        <f>=IFERROR(VLOOKUP(VALUE(LEFT(M82,3)),料號對照!$A:$B,2,0),IFERROR(VLOOKUP(VALUE(LEFT(M82,1)),料號對照!$A:$B,2,0),""))</f>
      </c>
      <c r="Q82">
        <f>=IFERROR(VLOOKUP(VALUE(LEFT(P82,3)),料號對照!$A:$B,2,0),IFERROR(VLOOKUP(VALUE(LEFT(P82,1)),料號對照!$A:$B,2,0),""))</f>
      </c>
      <c r="T82">
        <f>=IFERROR(VLOOKUP(VALUE(LEFT(S82,3)),料號對照!$A:$B,2,0),IFERROR(VLOOKUP(VALUE(LEFT(S82,1)),料號對照!$A:$B,2,0),""))</f>
      </c>
    </row>
    <row r="83">
      <c r="N83">
        <f>=IFERROR(VLOOKUP(VALUE(LEFT(M83,3)),料號對照!$A:$B,2,0),IFERROR(VLOOKUP(VALUE(LEFT(M83,1)),料號對照!$A:$B,2,0),""))</f>
      </c>
      <c r="Q83">
        <f>=IFERROR(VLOOKUP(VALUE(LEFT(P83,3)),料號對照!$A:$B,2,0),IFERROR(VLOOKUP(VALUE(LEFT(P83,1)),料號對照!$A:$B,2,0),""))</f>
      </c>
      <c r="T83">
        <f>=IFERROR(VLOOKUP(VALUE(LEFT(S83,3)),料號對照!$A:$B,2,0),IFERROR(VLOOKUP(VALUE(LEFT(S83,1)),料號對照!$A:$B,2,0),""))</f>
      </c>
    </row>
    <row r="84">
      <c r="N84">
        <f>=IFERROR(VLOOKUP(VALUE(LEFT(M84,3)),料號對照!$A:$B,2,0),IFERROR(VLOOKUP(VALUE(LEFT(M84,1)),料號對照!$A:$B,2,0),""))</f>
      </c>
      <c r="Q84">
        <f>=IFERROR(VLOOKUP(VALUE(LEFT(P84,3)),料號對照!$A:$B,2,0),IFERROR(VLOOKUP(VALUE(LEFT(P84,1)),料號對照!$A:$B,2,0),""))</f>
      </c>
      <c r="T84">
        <f>=IFERROR(VLOOKUP(VALUE(LEFT(S84,3)),料號對照!$A:$B,2,0),IFERROR(VLOOKUP(VALUE(LEFT(S84,1)),料號對照!$A:$B,2,0),""))</f>
      </c>
    </row>
    <row r="85">
      <c r="N85">
        <f>=IFERROR(VLOOKUP(VALUE(LEFT(M85,3)),料號對照!$A:$B,2,0),IFERROR(VLOOKUP(VALUE(LEFT(M85,1)),料號對照!$A:$B,2,0),""))</f>
      </c>
      <c r="Q85">
        <f>=IFERROR(VLOOKUP(VALUE(LEFT(P85,3)),料號對照!$A:$B,2,0),IFERROR(VLOOKUP(VALUE(LEFT(P85,1)),料號對照!$A:$B,2,0),""))</f>
      </c>
      <c r="T85">
        <f>=IFERROR(VLOOKUP(VALUE(LEFT(S85,3)),料號對照!$A:$B,2,0),IFERROR(VLOOKUP(VALUE(LEFT(S85,1)),料號對照!$A:$B,2,0),""))</f>
      </c>
    </row>
    <row r="86">
      <c r="N86">
        <f>=IFERROR(VLOOKUP(VALUE(LEFT(M86,3)),料號對照!$A:$B,2,0),IFERROR(VLOOKUP(VALUE(LEFT(M86,1)),料號對照!$A:$B,2,0),""))</f>
      </c>
      <c r="Q86">
        <f>=IFERROR(VLOOKUP(VALUE(LEFT(P86,3)),料號對照!$A:$B,2,0),IFERROR(VLOOKUP(VALUE(LEFT(P86,1)),料號對照!$A:$B,2,0),""))</f>
      </c>
      <c r="T86">
        <f>=IFERROR(VLOOKUP(VALUE(LEFT(S86,3)),料號對照!$A:$B,2,0),IFERROR(VLOOKUP(VALUE(LEFT(S86,1)),料號對照!$A:$B,2,0),""))</f>
      </c>
    </row>
    <row r="87">
      <c r="N87">
        <f>=IFERROR(VLOOKUP(VALUE(LEFT(M87,3)),料號對照!$A:$B,2,0),IFERROR(VLOOKUP(VALUE(LEFT(M87,1)),料號對照!$A:$B,2,0),""))</f>
      </c>
      <c r="Q87">
        <f>=IFERROR(VLOOKUP(VALUE(LEFT(P87,3)),料號對照!$A:$B,2,0),IFERROR(VLOOKUP(VALUE(LEFT(P87,1)),料號對照!$A:$B,2,0),""))</f>
      </c>
      <c r="T87">
        <f>=IFERROR(VLOOKUP(VALUE(LEFT(S87,3)),料號對照!$A:$B,2,0),IFERROR(VLOOKUP(VALUE(LEFT(S87,1)),料號對照!$A:$B,2,0),""))</f>
      </c>
    </row>
    <row r="88">
      <c r="N88">
        <f>=IFERROR(VLOOKUP(VALUE(LEFT(M88,3)),料號對照!$A:$B,2,0),IFERROR(VLOOKUP(VALUE(LEFT(M88,1)),料號對照!$A:$B,2,0),""))</f>
      </c>
      <c r="Q88">
        <f>=IFERROR(VLOOKUP(VALUE(LEFT(P88,3)),料號對照!$A:$B,2,0),IFERROR(VLOOKUP(VALUE(LEFT(P88,1)),料號對照!$A:$B,2,0),""))</f>
      </c>
      <c r="T88">
        <f>=IFERROR(VLOOKUP(VALUE(LEFT(S88,3)),料號對照!$A:$B,2,0),IFERROR(VLOOKUP(VALUE(LEFT(S88,1)),料號對照!$A:$B,2,0),""))</f>
      </c>
    </row>
    <row r="89">
      <c r="N89">
        <f>=IFERROR(VLOOKUP(VALUE(LEFT(M89,3)),料號對照!$A:$B,2,0),IFERROR(VLOOKUP(VALUE(LEFT(M89,1)),料號對照!$A:$B,2,0),""))</f>
      </c>
      <c r="Q89">
        <f>=IFERROR(VLOOKUP(VALUE(LEFT(P89,3)),料號對照!$A:$B,2,0),IFERROR(VLOOKUP(VALUE(LEFT(P89,1)),料號對照!$A:$B,2,0),""))</f>
      </c>
      <c r="T89">
        <f>=IFERROR(VLOOKUP(VALUE(LEFT(S89,3)),料號對照!$A:$B,2,0),IFERROR(VLOOKUP(VALUE(LEFT(S89,1)),料號對照!$A:$B,2,0),""))</f>
      </c>
    </row>
    <row r="90">
      <c r="N90">
        <f>=IFERROR(VLOOKUP(VALUE(LEFT(M90,3)),料號對照!$A:$B,2,0),IFERROR(VLOOKUP(VALUE(LEFT(M90,1)),料號對照!$A:$B,2,0),""))</f>
      </c>
      <c r="Q90">
        <f>=IFERROR(VLOOKUP(VALUE(LEFT(P90,3)),料號對照!$A:$B,2,0),IFERROR(VLOOKUP(VALUE(LEFT(P90,1)),料號對照!$A:$B,2,0),""))</f>
      </c>
      <c r="T90">
        <f>=IFERROR(VLOOKUP(VALUE(LEFT(S90,3)),料號對照!$A:$B,2,0),IFERROR(VLOOKUP(VALUE(LEFT(S90,1)),料號對照!$A:$B,2,0),""))</f>
      </c>
    </row>
    <row r="91">
      <c r="N91">
        <f>=IFERROR(VLOOKUP(VALUE(LEFT(M91,3)),料號對照!$A:$B,2,0),IFERROR(VLOOKUP(VALUE(LEFT(M91,1)),料號對照!$A:$B,2,0),""))</f>
      </c>
      <c r="Q91">
        <f>=IFERROR(VLOOKUP(VALUE(LEFT(P91,3)),料號對照!$A:$B,2,0),IFERROR(VLOOKUP(VALUE(LEFT(P91,1)),料號對照!$A:$B,2,0),""))</f>
      </c>
      <c r="T91">
        <f>=IFERROR(VLOOKUP(VALUE(LEFT(S91,3)),料號對照!$A:$B,2,0),IFERROR(VLOOKUP(VALUE(LEFT(S91,1)),料號對照!$A:$B,2,0),""))</f>
      </c>
    </row>
    <row r="92">
      <c r="N92">
        <f>=IFERROR(VLOOKUP(VALUE(LEFT(M92,3)),料號對照!$A:$B,2,0),IFERROR(VLOOKUP(VALUE(LEFT(M92,1)),料號對照!$A:$B,2,0),""))</f>
      </c>
      <c r="Q92">
        <f>=IFERROR(VLOOKUP(VALUE(LEFT(P92,3)),料號對照!$A:$B,2,0),IFERROR(VLOOKUP(VALUE(LEFT(P92,1)),料號對照!$A:$B,2,0),""))</f>
      </c>
      <c r="T92">
        <f>=IFERROR(VLOOKUP(VALUE(LEFT(S92,3)),料號對照!$A:$B,2,0),IFERROR(VLOOKUP(VALUE(LEFT(S92,1)),料號對照!$A:$B,2,0),""))</f>
      </c>
    </row>
    <row r="93">
      <c r="N93">
        <f>=IFERROR(VLOOKUP(VALUE(LEFT(M93,3)),料號對照!$A:$B,2,0),IFERROR(VLOOKUP(VALUE(LEFT(M93,1)),料號對照!$A:$B,2,0),""))</f>
      </c>
      <c r="Q93">
        <f>=IFERROR(VLOOKUP(VALUE(LEFT(P93,3)),料號對照!$A:$B,2,0),IFERROR(VLOOKUP(VALUE(LEFT(P93,1)),料號對照!$A:$B,2,0),""))</f>
      </c>
      <c r="T93">
        <f>=IFERROR(VLOOKUP(VALUE(LEFT(S93,3)),料號對照!$A:$B,2,0),IFERROR(VLOOKUP(VALUE(LEFT(S93,1)),料號對照!$A:$B,2,0),""))</f>
      </c>
    </row>
    <row r="94">
      <c r="N94">
        <f>=IFERROR(VLOOKUP(VALUE(LEFT(M94,3)),料號對照!$A:$B,2,0),IFERROR(VLOOKUP(VALUE(LEFT(M94,1)),料號對照!$A:$B,2,0),""))</f>
      </c>
      <c r="Q94">
        <f>=IFERROR(VLOOKUP(VALUE(LEFT(P94,3)),料號對照!$A:$B,2,0),IFERROR(VLOOKUP(VALUE(LEFT(P94,1)),料號對照!$A:$B,2,0),""))</f>
      </c>
      <c r="T94">
        <f>=IFERROR(VLOOKUP(VALUE(LEFT(S94,3)),料號對照!$A:$B,2,0),IFERROR(VLOOKUP(VALUE(LEFT(S94,1)),料號對照!$A:$B,2,0),""))</f>
      </c>
    </row>
    <row r="95">
      <c r="N95">
        <f>=IFERROR(VLOOKUP(VALUE(LEFT(M95,3)),料號對照!$A:$B,2,0),IFERROR(VLOOKUP(VALUE(LEFT(M95,1)),料號對照!$A:$B,2,0),""))</f>
      </c>
      <c r="Q95">
        <f>=IFERROR(VLOOKUP(VALUE(LEFT(P95,3)),料號對照!$A:$B,2,0),IFERROR(VLOOKUP(VALUE(LEFT(P95,1)),料號對照!$A:$B,2,0),""))</f>
      </c>
      <c r="T95">
        <f>=IFERROR(VLOOKUP(VALUE(LEFT(S95,3)),料號對照!$A:$B,2,0),IFERROR(VLOOKUP(VALUE(LEFT(S95,1)),料號對照!$A:$B,2,0),""))</f>
      </c>
    </row>
    <row r="96">
      <c r="N96">
        <f>=IFERROR(VLOOKUP(VALUE(LEFT(M96,3)),料號對照!$A:$B,2,0),IFERROR(VLOOKUP(VALUE(LEFT(M96,1)),料號對照!$A:$B,2,0),""))</f>
      </c>
      <c r="Q96">
        <f>=IFERROR(VLOOKUP(VALUE(LEFT(P96,3)),料號對照!$A:$B,2,0),IFERROR(VLOOKUP(VALUE(LEFT(P96,1)),料號對照!$A:$B,2,0),""))</f>
      </c>
      <c r="T96">
        <f>=IFERROR(VLOOKUP(VALUE(LEFT(S96,3)),料號對照!$A:$B,2,0),IFERROR(VLOOKUP(VALUE(LEFT(S96,1)),料號對照!$A:$B,2,0),""))</f>
      </c>
    </row>
    <row r="97">
      <c r="N97">
        <f>=IFERROR(VLOOKUP(VALUE(LEFT(M97,3)),料號對照!$A:$B,2,0),IFERROR(VLOOKUP(VALUE(LEFT(M97,1)),料號對照!$A:$B,2,0),""))</f>
      </c>
      <c r="Q97">
        <f>=IFERROR(VLOOKUP(VALUE(LEFT(P97,3)),料號對照!$A:$B,2,0),IFERROR(VLOOKUP(VALUE(LEFT(P97,1)),料號對照!$A:$B,2,0),""))</f>
      </c>
      <c r="T97">
        <f>=IFERROR(VLOOKUP(VALUE(LEFT(S97,3)),料號對照!$A:$B,2,0),IFERROR(VLOOKUP(VALUE(LEFT(S97,1)),料號對照!$A:$B,2,0),""))</f>
      </c>
    </row>
    <row r="98">
      <c r="N98">
        <f>=IFERROR(VLOOKUP(VALUE(LEFT(M98,3)),料號對照!$A:$B,2,0),IFERROR(VLOOKUP(VALUE(LEFT(M98,1)),料號對照!$A:$B,2,0),""))</f>
      </c>
      <c r="Q98">
        <f>=IFERROR(VLOOKUP(VALUE(LEFT(P98,3)),料號對照!$A:$B,2,0),IFERROR(VLOOKUP(VALUE(LEFT(P98,1)),料號對照!$A:$B,2,0),""))</f>
      </c>
      <c r="T98">
        <f>=IFERROR(VLOOKUP(VALUE(LEFT(S98,3)),料號對照!$A:$B,2,0),IFERROR(VLOOKUP(VALUE(LEFT(S98,1)),料號對照!$A:$B,2,0),""))</f>
      </c>
    </row>
    <row r="99">
      <c r="N99">
        <f>=IFERROR(VLOOKUP(VALUE(LEFT(M99,3)),料號對照!$A:$B,2,0),IFERROR(VLOOKUP(VALUE(LEFT(M99,1)),料號對照!$A:$B,2,0),""))</f>
      </c>
      <c r="Q99">
        <f>=IFERROR(VLOOKUP(VALUE(LEFT(P99,3)),料號對照!$A:$B,2,0),IFERROR(VLOOKUP(VALUE(LEFT(P99,1)),料號對照!$A:$B,2,0),""))</f>
      </c>
      <c r="T99">
        <f>=IFERROR(VLOOKUP(VALUE(LEFT(S99,3)),料號對照!$A:$B,2,0),IFERROR(VLOOKUP(VALUE(LEFT(S99,1)),料號對照!$A:$B,2,0),""))</f>
      </c>
    </row>
    <row r="100">
      <c r="N100">
        <f>=IFERROR(VLOOKUP(VALUE(LEFT(M100,3)),料號對照!$A:$B,2,0),IFERROR(VLOOKUP(VALUE(LEFT(M100,1)),料號對照!$A:$B,2,0),""))</f>
      </c>
      <c r="Q100">
        <f>=IFERROR(VLOOKUP(VALUE(LEFT(P100,3)),料號對照!$A:$B,2,0),IFERROR(VLOOKUP(VALUE(LEFT(P100,1)),料號對照!$A:$B,2,0),""))</f>
      </c>
      <c r="T100">
        <f>=IFERROR(VLOOKUP(VALUE(LEFT(S100,3)),料號對照!$A:$B,2,0),IFERROR(VLOOKUP(VALUE(LEFT(S100,1)),料號對照!$A:$B,2,0),""))</f>
      </c>
    </row>
    <row r="101">
      <c r="N101">
        <f>=IFERROR(VLOOKUP(VALUE(LEFT(M101,3)),料號對照!$A:$B,2,0),IFERROR(VLOOKUP(VALUE(LEFT(M101,1)),料號對照!$A:$B,2,0),""))</f>
      </c>
      <c r="Q101">
        <f>=IFERROR(VLOOKUP(VALUE(LEFT(P101,3)),料號對照!$A:$B,2,0),IFERROR(VLOOKUP(VALUE(LEFT(P101,1)),料號對照!$A:$B,2,0),""))</f>
      </c>
      <c r="T101">
        <f>=IFERROR(VLOOKUP(VALUE(LEFT(S101,3)),料號對照!$A:$B,2,0),IFERROR(VLOOKUP(VALUE(LEFT(S101,1)),料號對照!$A:$B,2,0),""))</f>
      </c>
    </row>
    <row r="102">
      <c r="N102">
        <f>=IFERROR(VLOOKUP(VALUE(LEFT(M102,3)),料號對照!$A:$B,2,0),IFERROR(VLOOKUP(VALUE(LEFT(M102,1)),料號對照!$A:$B,2,0),""))</f>
      </c>
      <c r="Q102">
        <f>=IFERROR(VLOOKUP(VALUE(LEFT(P102,3)),料號對照!$A:$B,2,0),IFERROR(VLOOKUP(VALUE(LEFT(P102,1)),料號對照!$A:$B,2,0),""))</f>
      </c>
      <c r="T102">
        <f>=IFERROR(VLOOKUP(VALUE(LEFT(S102,3)),料號對照!$A:$B,2,0),IFERROR(VLOOKUP(VALUE(LEFT(S102,1)),料號對照!$A:$B,2,0),""))</f>
      </c>
    </row>
    <row r="103">
      <c r="N103">
        <f>=IFERROR(VLOOKUP(VALUE(LEFT(M103,3)),料號對照!$A:$B,2,0),IFERROR(VLOOKUP(VALUE(LEFT(M103,1)),料號對照!$A:$B,2,0),""))</f>
      </c>
      <c r="Q103">
        <f>=IFERROR(VLOOKUP(VALUE(LEFT(P103,3)),料號對照!$A:$B,2,0),IFERROR(VLOOKUP(VALUE(LEFT(P103,1)),料號對照!$A:$B,2,0),""))</f>
      </c>
      <c r="T103">
        <f>=IFERROR(VLOOKUP(VALUE(LEFT(S103,3)),料號對照!$A:$B,2,0),IFERROR(VLOOKUP(VALUE(LEFT(S103,1)),料號對照!$A:$B,2,0),""))</f>
      </c>
    </row>
    <row r="104">
      <c r="N104">
        <f>=IFERROR(VLOOKUP(VALUE(LEFT(M104,3)),料號對照!$A:$B,2,0),IFERROR(VLOOKUP(VALUE(LEFT(M104,1)),料號對照!$A:$B,2,0),""))</f>
      </c>
      <c r="Q104">
        <f>=IFERROR(VLOOKUP(VALUE(LEFT(P104,3)),料號對照!$A:$B,2,0),IFERROR(VLOOKUP(VALUE(LEFT(P104,1)),料號對照!$A:$B,2,0),""))</f>
      </c>
      <c r="T104">
        <f>=IFERROR(VLOOKUP(VALUE(LEFT(S104,3)),料號對照!$A:$B,2,0),IFERROR(VLOOKUP(VALUE(LEFT(S104,1)),料號對照!$A:$B,2,0),""))</f>
      </c>
    </row>
    <row r="105">
      <c r="N105">
        <f>=IFERROR(VLOOKUP(VALUE(LEFT(M105,3)),料號對照!$A:$B,2,0),IFERROR(VLOOKUP(VALUE(LEFT(M105,1)),料號對照!$A:$B,2,0),""))</f>
      </c>
      <c r="Q105">
        <f>=IFERROR(VLOOKUP(VALUE(LEFT(P105,3)),料號對照!$A:$B,2,0),IFERROR(VLOOKUP(VALUE(LEFT(P105,1)),料號對照!$A:$B,2,0),""))</f>
      </c>
      <c r="T105">
        <f>=IFERROR(VLOOKUP(VALUE(LEFT(S105,3)),料號對照!$A:$B,2,0),IFERROR(VLOOKUP(VALUE(LEFT(S105,1)),料號對照!$A:$B,2,0),""))</f>
      </c>
    </row>
    <row r="106">
      <c r="N106">
        <f>=IFERROR(VLOOKUP(VALUE(LEFT(M106,3)),料號對照!$A:$B,2,0),IFERROR(VLOOKUP(VALUE(LEFT(M106,1)),料號對照!$A:$B,2,0),""))</f>
      </c>
      <c r="Q106">
        <f>=IFERROR(VLOOKUP(VALUE(LEFT(P106,3)),料號對照!$A:$B,2,0),IFERROR(VLOOKUP(VALUE(LEFT(P106,1)),料號對照!$A:$B,2,0),""))</f>
      </c>
      <c r="T106">
        <f>=IFERROR(VLOOKUP(VALUE(LEFT(S106,3)),料號對照!$A:$B,2,0),IFERROR(VLOOKUP(VALUE(LEFT(S106,1)),料號對照!$A:$B,2,0),""))</f>
      </c>
    </row>
    <row r="107">
      <c r="N107">
        <f>=IFERROR(VLOOKUP(VALUE(LEFT(M107,3)),料號對照!$A:$B,2,0),IFERROR(VLOOKUP(VALUE(LEFT(M107,1)),料號對照!$A:$B,2,0),""))</f>
      </c>
      <c r="Q107">
        <f>=IFERROR(VLOOKUP(VALUE(LEFT(P107,3)),料號對照!$A:$B,2,0),IFERROR(VLOOKUP(VALUE(LEFT(P107,1)),料號對照!$A:$B,2,0),""))</f>
      </c>
      <c r="T107">
        <f>=IFERROR(VLOOKUP(VALUE(LEFT(S107,3)),料號對照!$A:$B,2,0),IFERROR(VLOOKUP(VALUE(LEFT(S107,1)),料號對照!$A:$B,2,0),""))</f>
      </c>
    </row>
    <row r="108">
      <c r="N108">
        <f>=IFERROR(VLOOKUP(VALUE(LEFT(M108,3)),料號對照!$A:$B,2,0),IFERROR(VLOOKUP(VALUE(LEFT(M108,1)),料號對照!$A:$B,2,0),""))</f>
      </c>
      <c r="Q108">
        <f>=IFERROR(VLOOKUP(VALUE(LEFT(P108,3)),料號對照!$A:$B,2,0),IFERROR(VLOOKUP(VALUE(LEFT(P108,1)),料號對照!$A:$B,2,0),""))</f>
      </c>
      <c r="T108">
        <f>=IFERROR(VLOOKUP(VALUE(LEFT(S108,3)),料號對照!$A:$B,2,0),IFERROR(VLOOKUP(VALUE(LEFT(S108,1)),料號對照!$A:$B,2,0),""))</f>
      </c>
    </row>
    <row r="109">
      <c r="N109">
        <f>=IFERROR(VLOOKUP(VALUE(LEFT(M109,3)),料號對照!$A:$B,2,0),IFERROR(VLOOKUP(VALUE(LEFT(M109,1)),料號對照!$A:$B,2,0),""))</f>
      </c>
      <c r="Q109">
        <f>=IFERROR(VLOOKUP(VALUE(LEFT(P109,3)),料號對照!$A:$B,2,0),IFERROR(VLOOKUP(VALUE(LEFT(P109,1)),料號對照!$A:$B,2,0),""))</f>
      </c>
      <c r="T109">
        <f>=IFERROR(VLOOKUP(VALUE(LEFT(S109,3)),料號對照!$A:$B,2,0),IFERROR(VLOOKUP(VALUE(LEFT(S109,1)),料號對照!$A:$B,2,0),""))</f>
      </c>
    </row>
    <row r="110">
      <c r="N110">
        <f>=IFERROR(VLOOKUP(VALUE(LEFT(M110,3)),料號對照!$A:$B,2,0),IFERROR(VLOOKUP(VALUE(LEFT(M110,1)),料號對照!$A:$B,2,0),""))</f>
      </c>
      <c r="Q110">
        <f>=IFERROR(VLOOKUP(VALUE(LEFT(P110,3)),料號對照!$A:$B,2,0),IFERROR(VLOOKUP(VALUE(LEFT(P110,1)),料號對照!$A:$B,2,0),""))</f>
      </c>
      <c r="T110">
        <f>=IFERROR(VLOOKUP(VALUE(LEFT(S110,3)),料號對照!$A:$B,2,0),IFERROR(VLOOKUP(VALUE(LEFT(S110,1)),料號對照!$A:$B,2,0),""))</f>
      </c>
    </row>
    <row r="111">
      <c r="N111">
        <f>=IFERROR(VLOOKUP(VALUE(LEFT(M111,3)),料號對照!$A:$B,2,0),IFERROR(VLOOKUP(VALUE(LEFT(M111,1)),料號對照!$A:$B,2,0),""))</f>
      </c>
      <c r="Q111">
        <f>=IFERROR(VLOOKUP(VALUE(LEFT(P111,3)),料號對照!$A:$B,2,0),IFERROR(VLOOKUP(VALUE(LEFT(P111,1)),料號對照!$A:$B,2,0),""))</f>
      </c>
      <c r="T111">
        <f>=IFERROR(VLOOKUP(VALUE(LEFT(S111,3)),料號對照!$A:$B,2,0),IFERROR(VLOOKUP(VALUE(LEFT(S111,1)),料號對照!$A:$B,2,0),""))</f>
      </c>
    </row>
    <row r="112">
      <c r="N112">
        <f>=IFERROR(VLOOKUP(VALUE(LEFT(M112,3)),料號對照!$A:$B,2,0),IFERROR(VLOOKUP(VALUE(LEFT(M112,1)),料號對照!$A:$B,2,0),""))</f>
      </c>
      <c r="Q112">
        <f>=IFERROR(VLOOKUP(VALUE(LEFT(P112,3)),料號對照!$A:$B,2,0),IFERROR(VLOOKUP(VALUE(LEFT(P112,1)),料號對照!$A:$B,2,0),""))</f>
      </c>
      <c r="T112">
        <f>=IFERROR(VLOOKUP(VALUE(LEFT(S112,3)),料號對照!$A:$B,2,0),IFERROR(VLOOKUP(VALUE(LEFT(S112,1)),料號對照!$A:$B,2,0),""))</f>
      </c>
    </row>
    <row r="113">
      <c r="N113">
        <f>=IFERROR(VLOOKUP(VALUE(LEFT(M113,3)),料號對照!$A:$B,2,0),IFERROR(VLOOKUP(VALUE(LEFT(M113,1)),料號對照!$A:$B,2,0),""))</f>
      </c>
      <c r="Q113">
        <f>=IFERROR(VLOOKUP(VALUE(LEFT(P113,3)),料號對照!$A:$B,2,0),IFERROR(VLOOKUP(VALUE(LEFT(P113,1)),料號對照!$A:$B,2,0),""))</f>
      </c>
      <c r="T113">
        <f>=IFERROR(VLOOKUP(VALUE(LEFT(S113,3)),料號對照!$A:$B,2,0),IFERROR(VLOOKUP(VALUE(LEFT(S113,1)),料號對照!$A:$B,2,0),""))</f>
      </c>
    </row>
    <row r="114">
      <c r="N114">
        <f>=IFERROR(VLOOKUP(VALUE(LEFT(M114,3)),料號對照!$A:$B,2,0),IFERROR(VLOOKUP(VALUE(LEFT(M114,1)),料號對照!$A:$B,2,0),""))</f>
      </c>
      <c r="Q114">
        <f>=IFERROR(VLOOKUP(VALUE(LEFT(P114,3)),料號對照!$A:$B,2,0),IFERROR(VLOOKUP(VALUE(LEFT(P114,1)),料號對照!$A:$B,2,0),""))</f>
      </c>
      <c r="T114">
        <f>=IFERROR(VLOOKUP(VALUE(LEFT(S114,3)),料號對照!$A:$B,2,0),IFERROR(VLOOKUP(VALUE(LEFT(S114,1)),料號對照!$A:$B,2,0),""))</f>
      </c>
    </row>
    <row r="115">
      <c r="N115">
        <f>=IFERROR(VLOOKUP(VALUE(LEFT(M115,3)),料號對照!$A:$B,2,0),IFERROR(VLOOKUP(VALUE(LEFT(M115,1)),料號對照!$A:$B,2,0),""))</f>
      </c>
      <c r="Q115">
        <f>=IFERROR(VLOOKUP(VALUE(LEFT(P115,3)),料號對照!$A:$B,2,0),IFERROR(VLOOKUP(VALUE(LEFT(P115,1)),料號對照!$A:$B,2,0),""))</f>
      </c>
      <c r="T115">
        <f>=IFERROR(VLOOKUP(VALUE(LEFT(S115,3)),料號對照!$A:$B,2,0),IFERROR(VLOOKUP(VALUE(LEFT(S115,1)),料號對照!$A:$B,2,0),""))</f>
      </c>
    </row>
    <row r="116">
      <c r="N116">
        <f>=IFERROR(VLOOKUP(VALUE(LEFT(M116,3)),料號對照!$A:$B,2,0),IFERROR(VLOOKUP(VALUE(LEFT(M116,1)),料號對照!$A:$B,2,0),""))</f>
      </c>
      <c r="Q116">
        <f>=IFERROR(VLOOKUP(VALUE(LEFT(P116,3)),料號對照!$A:$B,2,0),IFERROR(VLOOKUP(VALUE(LEFT(P116,1)),料號對照!$A:$B,2,0),""))</f>
      </c>
      <c r="T116">
        <f>=IFERROR(VLOOKUP(VALUE(LEFT(S116,3)),料號對照!$A:$B,2,0),IFERROR(VLOOKUP(VALUE(LEFT(S116,1)),料號對照!$A:$B,2,0),""))</f>
      </c>
    </row>
    <row r="117">
      <c r="N117">
        <f>=IFERROR(VLOOKUP(VALUE(LEFT(M117,3)),料號對照!$A:$B,2,0),IFERROR(VLOOKUP(VALUE(LEFT(M117,1)),料號對照!$A:$B,2,0),""))</f>
      </c>
      <c r="Q117">
        <f>=IFERROR(VLOOKUP(VALUE(LEFT(P117,3)),料號對照!$A:$B,2,0),IFERROR(VLOOKUP(VALUE(LEFT(P117,1)),料號對照!$A:$B,2,0),""))</f>
      </c>
      <c r="T117">
        <f>=IFERROR(VLOOKUP(VALUE(LEFT(S117,3)),料號對照!$A:$B,2,0),IFERROR(VLOOKUP(VALUE(LEFT(S117,1)),料號對照!$A:$B,2,0),""))</f>
      </c>
    </row>
    <row r="118">
      <c r="N118">
        <f>=IFERROR(VLOOKUP(VALUE(LEFT(M118,3)),料號對照!$A:$B,2,0),IFERROR(VLOOKUP(VALUE(LEFT(M118,1)),料號對照!$A:$B,2,0),""))</f>
      </c>
      <c r="Q118">
        <f>=IFERROR(VLOOKUP(VALUE(LEFT(P118,3)),料號對照!$A:$B,2,0),IFERROR(VLOOKUP(VALUE(LEFT(P118,1)),料號對照!$A:$B,2,0),""))</f>
      </c>
      <c r="T118">
        <f>=IFERROR(VLOOKUP(VALUE(LEFT(S118,3)),料號對照!$A:$B,2,0),IFERROR(VLOOKUP(VALUE(LEFT(S118,1)),料號對照!$A:$B,2,0),""))</f>
      </c>
    </row>
    <row r="119">
      <c r="N119">
        <f>=IFERROR(VLOOKUP(VALUE(LEFT(M119,3)),料號對照!$A:$B,2,0),IFERROR(VLOOKUP(VALUE(LEFT(M119,1)),料號對照!$A:$B,2,0),""))</f>
      </c>
      <c r="Q119">
        <f>=IFERROR(VLOOKUP(VALUE(LEFT(P119,3)),料號對照!$A:$B,2,0),IFERROR(VLOOKUP(VALUE(LEFT(P119,1)),料號對照!$A:$B,2,0),""))</f>
      </c>
      <c r="T119">
        <f>=IFERROR(VLOOKUP(VALUE(LEFT(S119,3)),料號對照!$A:$B,2,0),IFERROR(VLOOKUP(VALUE(LEFT(S119,1)),料號對照!$A:$B,2,0),""))</f>
      </c>
    </row>
    <row r="120">
      <c r="N120">
        <f>=IFERROR(VLOOKUP(VALUE(LEFT(M120,3)),料號對照!$A:$B,2,0),IFERROR(VLOOKUP(VALUE(LEFT(M120,1)),料號對照!$A:$B,2,0),""))</f>
      </c>
      <c r="Q120">
        <f>=IFERROR(VLOOKUP(VALUE(LEFT(P120,3)),料號對照!$A:$B,2,0),IFERROR(VLOOKUP(VALUE(LEFT(P120,1)),料號對照!$A:$B,2,0),""))</f>
      </c>
      <c r="T120">
        <f>=IFERROR(VLOOKUP(VALUE(LEFT(S120,3)),料號對照!$A:$B,2,0),IFERROR(VLOOKUP(VALUE(LEFT(S120,1)),料號對照!$A:$B,2,0),""))</f>
      </c>
    </row>
    <row r="121">
      <c r="N121">
        <f>=IFERROR(VLOOKUP(VALUE(LEFT(M121,3)),料號對照!$A:$B,2,0),IFERROR(VLOOKUP(VALUE(LEFT(M121,1)),料號對照!$A:$B,2,0),""))</f>
      </c>
      <c r="Q121">
        <f>=IFERROR(VLOOKUP(VALUE(LEFT(P121,3)),料號對照!$A:$B,2,0),IFERROR(VLOOKUP(VALUE(LEFT(P121,1)),料號對照!$A:$B,2,0),""))</f>
      </c>
      <c r="T121">
        <f>=IFERROR(VLOOKUP(VALUE(LEFT(S121,3)),料號對照!$A:$B,2,0),IFERROR(VLOOKUP(VALUE(LEFT(S121,1)),料號對照!$A:$B,2,0),""))</f>
      </c>
    </row>
    <row r="122">
      <c r="N122">
        <f>=IFERROR(VLOOKUP(VALUE(LEFT(M122,3)),料號對照!$A:$B,2,0),IFERROR(VLOOKUP(VALUE(LEFT(M122,1)),料號對照!$A:$B,2,0),""))</f>
      </c>
      <c r="Q122">
        <f>=IFERROR(VLOOKUP(VALUE(LEFT(P122,3)),料號對照!$A:$B,2,0),IFERROR(VLOOKUP(VALUE(LEFT(P122,1)),料號對照!$A:$B,2,0),""))</f>
      </c>
      <c r="T122">
        <f>=IFERROR(VLOOKUP(VALUE(LEFT(S122,3)),料號對照!$A:$B,2,0),IFERROR(VLOOKUP(VALUE(LEFT(S122,1)),料號對照!$A:$B,2,0),""))</f>
      </c>
    </row>
    <row r="123">
      <c r="N123">
        <f>=IFERROR(VLOOKUP(VALUE(LEFT(M123,3)),料號對照!$A:$B,2,0),IFERROR(VLOOKUP(VALUE(LEFT(M123,1)),料號對照!$A:$B,2,0),""))</f>
      </c>
      <c r="Q123">
        <f>=IFERROR(VLOOKUP(VALUE(LEFT(P123,3)),料號對照!$A:$B,2,0),IFERROR(VLOOKUP(VALUE(LEFT(P123,1)),料號對照!$A:$B,2,0),""))</f>
      </c>
      <c r="T123">
        <f>=IFERROR(VLOOKUP(VALUE(LEFT(S123,3)),料號對照!$A:$B,2,0),IFERROR(VLOOKUP(VALUE(LEFT(S123,1)),料號對照!$A:$B,2,0),""))</f>
      </c>
    </row>
    <row r="124">
      <c r="N124">
        <f>=IFERROR(VLOOKUP(VALUE(LEFT(M124,3)),料號對照!$A:$B,2,0),IFERROR(VLOOKUP(VALUE(LEFT(M124,1)),料號對照!$A:$B,2,0),""))</f>
      </c>
      <c r="Q124">
        <f>=IFERROR(VLOOKUP(VALUE(LEFT(P124,3)),料號對照!$A:$B,2,0),IFERROR(VLOOKUP(VALUE(LEFT(P124,1)),料號對照!$A:$B,2,0),""))</f>
      </c>
      <c r="T124">
        <f>=IFERROR(VLOOKUP(VALUE(LEFT(S124,3)),料號對照!$A:$B,2,0),IFERROR(VLOOKUP(VALUE(LEFT(S124,1)),料號對照!$A:$B,2,0),""))</f>
      </c>
    </row>
    <row r="125">
      <c r="N125">
        <f>=IFERROR(VLOOKUP(VALUE(LEFT(M125,3)),料號對照!$A:$B,2,0),IFERROR(VLOOKUP(VALUE(LEFT(M125,1)),料號對照!$A:$B,2,0),""))</f>
      </c>
      <c r="Q125">
        <f>=IFERROR(VLOOKUP(VALUE(LEFT(P125,3)),料號對照!$A:$B,2,0),IFERROR(VLOOKUP(VALUE(LEFT(P125,1)),料號對照!$A:$B,2,0),""))</f>
      </c>
      <c r="T125">
        <f>=IFERROR(VLOOKUP(VALUE(LEFT(S125,3)),料號對照!$A:$B,2,0),IFERROR(VLOOKUP(VALUE(LEFT(S125,1)),料號對照!$A:$B,2,0),""))</f>
      </c>
    </row>
    <row r="126">
      <c r="N126">
        <f>=IFERROR(VLOOKUP(VALUE(LEFT(M126,3)),料號對照!$A:$B,2,0),IFERROR(VLOOKUP(VALUE(LEFT(M126,1)),料號對照!$A:$B,2,0),""))</f>
      </c>
      <c r="Q126">
        <f>=IFERROR(VLOOKUP(VALUE(LEFT(P126,3)),料號對照!$A:$B,2,0),IFERROR(VLOOKUP(VALUE(LEFT(P126,1)),料號對照!$A:$B,2,0),""))</f>
      </c>
      <c r="T126">
        <f>=IFERROR(VLOOKUP(VALUE(LEFT(S126,3)),料號對照!$A:$B,2,0),IFERROR(VLOOKUP(VALUE(LEFT(S126,1)),料號對照!$A:$B,2,0),""))</f>
      </c>
    </row>
    <row r="127">
      <c r="N127">
        <f>=IFERROR(VLOOKUP(VALUE(LEFT(M127,3)),料號對照!$A:$B,2,0),IFERROR(VLOOKUP(VALUE(LEFT(M127,1)),料號對照!$A:$B,2,0),""))</f>
      </c>
      <c r="Q127">
        <f>=IFERROR(VLOOKUP(VALUE(LEFT(P127,3)),料號對照!$A:$B,2,0),IFERROR(VLOOKUP(VALUE(LEFT(P127,1)),料號對照!$A:$B,2,0),""))</f>
      </c>
      <c r="T127">
        <f>=IFERROR(VLOOKUP(VALUE(LEFT(S127,3)),料號對照!$A:$B,2,0),IFERROR(VLOOKUP(VALUE(LEFT(S127,1)),料號對照!$A:$B,2,0),""))</f>
      </c>
    </row>
    <row r="128">
      <c r="N128">
        <f>=IFERROR(VLOOKUP(VALUE(LEFT(M128,3)),料號對照!$A:$B,2,0),IFERROR(VLOOKUP(VALUE(LEFT(M128,1)),料號對照!$A:$B,2,0),""))</f>
      </c>
      <c r="Q128">
        <f>=IFERROR(VLOOKUP(VALUE(LEFT(P128,3)),料號對照!$A:$B,2,0),IFERROR(VLOOKUP(VALUE(LEFT(P128,1)),料號對照!$A:$B,2,0),""))</f>
      </c>
      <c r="T128">
        <f>=IFERROR(VLOOKUP(VALUE(LEFT(S128,3)),料號對照!$A:$B,2,0),IFERROR(VLOOKUP(VALUE(LEFT(S128,1)),料號對照!$A:$B,2,0),""))</f>
      </c>
    </row>
    <row r="129">
      <c r="N129">
        <f>=IFERROR(VLOOKUP(VALUE(LEFT(M129,3)),料號對照!$A:$B,2,0),IFERROR(VLOOKUP(VALUE(LEFT(M129,1)),料號對照!$A:$B,2,0),""))</f>
      </c>
      <c r="Q129">
        <f>=IFERROR(VLOOKUP(VALUE(LEFT(P129,3)),料號對照!$A:$B,2,0),IFERROR(VLOOKUP(VALUE(LEFT(P129,1)),料號對照!$A:$B,2,0),""))</f>
      </c>
      <c r="T129">
        <f>=IFERROR(VLOOKUP(VALUE(LEFT(S129,3)),料號對照!$A:$B,2,0),IFERROR(VLOOKUP(VALUE(LEFT(S129,1)),料號對照!$A:$B,2,0),""))</f>
      </c>
    </row>
    <row r="130">
      <c r="N130">
        <f>=IFERROR(VLOOKUP(VALUE(LEFT(M130,3)),料號對照!$A:$B,2,0),IFERROR(VLOOKUP(VALUE(LEFT(M130,1)),料號對照!$A:$B,2,0),""))</f>
      </c>
      <c r="Q130">
        <f>=IFERROR(VLOOKUP(VALUE(LEFT(P130,3)),料號對照!$A:$B,2,0),IFERROR(VLOOKUP(VALUE(LEFT(P130,1)),料號對照!$A:$B,2,0),""))</f>
      </c>
      <c r="T130">
        <f>=IFERROR(VLOOKUP(VALUE(LEFT(S130,3)),料號對照!$A:$B,2,0),IFERROR(VLOOKUP(VALUE(LEFT(S130,1)),料號對照!$A:$B,2,0),""))</f>
      </c>
    </row>
    <row r="131">
      <c r="N131">
        <f>=IFERROR(VLOOKUP(VALUE(LEFT(M131,3)),料號對照!$A:$B,2,0),IFERROR(VLOOKUP(VALUE(LEFT(M131,1)),料號對照!$A:$B,2,0),""))</f>
      </c>
      <c r="Q131">
        <f>=IFERROR(VLOOKUP(VALUE(LEFT(P131,3)),料號對照!$A:$B,2,0),IFERROR(VLOOKUP(VALUE(LEFT(P131,1)),料號對照!$A:$B,2,0),""))</f>
      </c>
      <c r="T131">
        <f>=IFERROR(VLOOKUP(VALUE(LEFT(S131,3)),料號對照!$A:$B,2,0),IFERROR(VLOOKUP(VALUE(LEFT(S131,1)),料號對照!$A:$B,2,0),""))</f>
      </c>
    </row>
    <row r="132">
      <c r="N132">
        <f>=IFERROR(VLOOKUP(VALUE(LEFT(M132,3)),料號對照!$A:$B,2,0),IFERROR(VLOOKUP(VALUE(LEFT(M132,1)),料號對照!$A:$B,2,0),""))</f>
      </c>
      <c r="Q132">
        <f>=IFERROR(VLOOKUP(VALUE(LEFT(P132,3)),料號對照!$A:$B,2,0),IFERROR(VLOOKUP(VALUE(LEFT(P132,1)),料號對照!$A:$B,2,0),""))</f>
      </c>
      <c r="T132">
        <f>=IFERROR(VLOOKUP(VALUE(LEFT(S132,3)),料號對照!$A:$B,2,0),IFERROR(VLOOKUP(VALUE(LEFT(S132,1)),料號對照!$A:$B,2,0),""))</f>
      </c>
    </row>
    <row r="133">
      <c r="N133">
        <f>=IFERROR(VLOOKUP(VALUE(LEFT(M133,3)),料號對照!$A:$B,2,0),IFERROR(VLOOKUP(VALUE(LEFT(M133,1)),料號對照!$A:$B,2,0),""))</f>
      </c>
      <c r="Q133">
        <f>=IFERROR(VLOOKUP(VALUE(LEFT(P133,3)),料號對照!$A:$B,2,0),IFERROR(VLOOKUP(VALUE(LEFT(P133,1)),料號對照!$A:$B,2,0),""))</f>
      </c>
      <c r="T133">
        <f>=IFERROR(VLOOKUP(VALUE(LEFT(S133,3)),料號對照!$A:$B,2,0),IFERROR(VLOOKUP(VALUE(LEFT(S133,1)),料號對照!$A:$B,2,0),""))</f>
      </c>
    </row>
    <row r="134">
      <c r="N134">
        <f>=IFERROR(VLOOKUP(VALUE(LEFT(M134,3)),料號對照!$A:$B,2,0),IFERROR(VLOOKUP(VALUE(LEFT(M134,1)),料號對照!$A:$B,2,0),""))</f>
      </c>
      <c r="Q134">
        <f>=IFERROR(VLOOKUP(VALUE(LEFT(P134,3)),料號對照!$A:$B,2,0),IFERROR(VLOOKUP(VALUE(LEFT(P134,1)),料號對照!$A:$B,2,0),""))</f>
      </c>
      <c r="T134">
        <f>=IFERROR(VLOOKUP(VALUE(LEFT(S134,3)),料號對照!$A:$B,2,0),IFERROR(VLOOKUP(VALUE(LEFT(S134,1)),料號對照!$A:$B,2,0),""))</f>
      </c>
    </row>
    <row r="135">
      <c r="N135">
        <f>=IFERROR(VLOOKUP(VALUE(LEFT(M135,3)),料號對照!$A:$B,2,0),IFERROR(VLOOKUP(VALUE(LEFT(M135,1)),料號對照!$A:$B,2,0),""))</f>
      </c>
      <c r="Q135">
        <f>=IFERROR(VLOOKUP(VALUE(LEFT(P135,3)),料號對照!$A:$B,2,0),IFERROR(VLOOKUP(VALUE(LEFT(P135,1)),料號對照!$A:$B,2,0),""))</f>
      </c>
      <c r="T135">
        <f>=IFERROR(VLOOKUP(VALUE(LEFT(S135,3)),料號對照!$A:$B,2,0),IFERROR(VLOOKUP(VALUE(LEFT(S135,1)),料號對照!$A:$B,2,0),""))</f>
      </c>
    </row>
    <row r="136">
      <c r="N136">
        <f>=IFERROR(VLOOKUP(VALUE(LEFT(M136,3)),料號對照!$A:$B,2,0),IFERROR(VLOOKUP(VALUE(LEFT(M136,1)),料號對照!$A:$B,2,0),""))</f>
      </c>
      <c r="Q136">
        <f>=IFERROR(VLOOKUP(VALUE(LEFT(P136,3)),料號對照!$A:$B,2,0),IFERROR(VLOOKUP(VALUE(LEFT(P136,1)),料號對照!$A:$B,2,0),""))</f>
      </c>
      <c r="T136">
        <f>=IFERROR(VLOOKUP(VALUE(LEFT(S136,3)),料號對照!$A:$B,2,0),IFERROR(VLOOKUP(VALUE(LEFT(S136,1)),料號對照!$A:$B,2,0),""))</f>
      </c>
    </row>
    <row r="137">
      <c r="N137">
        <f>=IFERROR(VLOOKUP(VALUE(LEFT(M137,3)),料號對照!$A:$B,2,0),IFERROR(VLOOKUP(VALUE(LEFT(M137,1)),料號對照!$A:$B,2,0),""))</f>
      </c>
      <c r="Q137">
        <f>=IFERROR(VLOOKUP(VALUE(LEFT(P137,3)),料號對照!$A:$B,2,0),IFERROR(VLOOKUP(VALUE(LEFT(P137,1)),料號對照!$A:$B,2,0),""))</f>
      </c>
      <c r="T137">
        <f>=IFERROR(VLOOKUP(VALUE(LEFT(S137,3)),料號對照!$A:$B,2,0),IFERROR(VLOOKUP(VALUE(LEFT(S137,1)),料號對照!$A:$B,2,0),""))</f>
      </c>
    </row>
    <row r="138">
      <c r="N138">
        <f>=IFERROR(VLOOKUP(VALUE(LEFT(M138,3)),料號對照!$A:$B,2,0),IFERROR(VLOOKUP(VALUE(LEFT(M138,1)),料號對照!$A:$B,2,0),""))</f>
      </c>
      <c r="Q138">
        <f>=IFERROR(VLOOKUP(VALUE(LEFT(P138,3)),料號對照!$A:$B,2,0),IFERROR(VLOOKUP(VALUE(LEFT(P138,1)),料號對照!$A:$B,2,0),""))</f>
      </c>
      <c r="T138">
        <f>=IFERROR(VLOOKUP(VALUE(LEFT(S138,3)),料號對照!$A:$B,2,0),IFERROR(VLOOKUP(VALUE(LEFT(S138,1)),料號對照!$A:$B,2,0),""))</f>
      </c>
    </row>
    <row r="139">
      <c r="N139">
        <f>=IFERROR(VLOOKUP(VALUE(LEFT(M139,3)),料號對照!$A:$B,2,0),IFERROR(VLOOKUP(VALUE(LEFT(M139,1)),料號對照!$A:$B,2,0),""))</f>
      </c>
      <c r="Q139">
        <f>=IFERROR(VLOOKUP(VALUE(LEFT(P139,3)),料號對照!$A:$B,2,0),IFERROR(VLOOKUP(VALUE(LEFT(P139,1)),料號對照!$A:$B,2,0),""))</f>
      </c>
      <c r="T139">
        <f>=IFERROR(VLOOKUP(VALUE(LEFT(S139,3)),料號對照!$A:$B,2,0),IFERROR(VLOOKUP(VALUE(LEFT(S139,1)),料號對照!$A:$B,2,0),""))</f>
      </c>
    </row>
    <row r="140">
      <c r="N140">
        <f>=IFERROR(VLOOKUP(VALUE(LEFT(M140,3)),料號對照!$A:$B,2,0),IFERROR(VLOOKUP(VALUE(LEFT(M140,1)),料號對照!$A:$B,2,0),""))</f>
      </c>
      <c r="Q140">
        <f>=IFERROR(VLOOKUP(VALUE(LEFT(P140,3)),料號對照!$A:$B,2,0),IFERROR(VLOOKUP(VALUE(LEFT(P140,1)),料號對照!$A:$B,2,0),""))</f>
      </c>
      <c r="T140">
        <f>=IFERROR(VLOOKUP(VALUE(LEFT(S140,3)),料號對照!$A:$B,2,0),IFERROR(VLOOKUP(VALUE(LEFT(S140,1)),料號對照!$A:$B,2,0),""))</f>
      </c>
    </row>
    <row r="141">
      <c r="N141">
        <f>=IFERROR(VLOOKUP(VALUE(LEFT(M141,3)),料號對照!$A:$B,2,0),IFERROR(VLOOKUP(VALUE(LEFT(M141,1)),料號對照!$A:$B,2,0),""))</f>
      </c>
      <c r="Q141">
        <f>=IFERROR(VLOOKUP(VALUE(LEFT(P141,3)),料號對照!$A:$B,2,0),IFERROR(VLOOKUP(VALUE(LEFT(P141,1)),料號對照!$A:$B,2,0),""))</f>
      </c>
      <c r="T141">
        <f>=IFERROR(VLOOKUP(VALUE(LEFT(S141,3)),料號對照!$A:$B,2,0),IFERROR(VLOOKUP(VALUE(LEFT(S141,1)),料號對照!$A:$B,2,0),""))</f>
      </c>
    </row>
    <row r="142">
      <c r="N142">
        <f>=IFERROR(VLOOKUP(VALUE(LEFT(M142,3)),料號對照!$A:$B,2,0),IFERROR(VLOOKUP(VALUE(LEFT(M142,1)),料號對照!$A:$B,2,0),""))</f>
      </c>
      <c r="Q142">
        <f>=IFERROR(VLOOKUP(VALUE(LEFT(P142,3)),料號對照!$A:$B,2,0),IFERROR(VLOOKUP(VALUE(LEFT(P142,1)),料號對照!$A:$B,2,0),""))</f>
      </c>
      <c r="T142">
        <f>=IFERROR(VLOOKUP(VALUE(LEFT(S142,3)),料號對照!$A:$B,2,0),IFERROR(VLOOKUP(VALUE(LEFT(S142,1)),料號對照!$A:$B,2,0),""))</f>
      </c>
    </row>
    <row r="143">
      <c r="N143">
        <f>=IFERROR(VLOOKUP(VALUE(LEFT(M143,3)),料號對照!$A:$B,2,0),IFERROR(VLOOKUP(VALUE(LEFT(M143,1)),料號對照!$A:$B,2,0),""))</f>
      </c>
      <c r="Q143">
        <f>=IFERROR(VLOOKUP(VALUE(LEFT(P143,3)),料號對照!$A:$B,2,0),IFERROR(VLOOKUP(VALUE(LEFT(P143,1)),料號對照!$A:$B,2,0),""))</f>
      </c>
      <c r="T143">
        <f>=IFERROR(VLOOKUP(VALUE(LEFT(S143,3)),料號對照!$A:$B,2,0),IFERROR(VLOOKUP(VALUE(LEFT(S143,1)),料號對照!$A:$B,2,0),""))</f>
      </c>
    </row>
    <row r="144">
      <c r="N144">
        <f>=IFERROR(VLOOKUP(VALUE(LEFT(M144,3)),料號對照!$A:$B,2,0),IFERROR(VLOOKUP(VALUE(LEFT(M144,1)),料號對照!$A:$B,2,0),""))</f>
      </c>
      <c r="Q144">
        <f>=IFERROR(VLOOKUP(VALUE(LEFT(P144,3)),料號對照!$A:$B,2,0),IFERROR(VLOOKUP(VALUE(LEFT(P144,1)),料號對照!$A:$B,2,0),""))</f>
      </c>
      <c r="T144">
        <f>=IFERROR(VLOOKUP(VALUE(LEFT(S144,3)),料號對照!$A:$B,2,0),IFERROR(VLOOKUP(VALUE(LEFT(S144,1)),料號對照!$A:$B,2,0),""))</f>
      </c>
    </row>
    <row r="145">
      <c r="N145">
        <f>=IFERROR(VLOOKUP(VALUE(LEFT(M145,3)),料號對照!$A:$B,2,0),IFERROR(VLOOKUP(VALUE(LEFT(M145,1)),料號對照!$A:$B,2,0),""))</f>
      </c>
      <c r="Q145">
        <f>=IFERROR(VLOOKUP(VALUE(LEFT(P145,3)),料號對照!$A:$B,2,0),IFERROR(VLOOKUP(VALUE(LEFT(P145,1)),料號對照!$A:$B,2,0),""))</f>
      </c>
      <c r="T145">
        <f>=IFERROR(VLOOKUP(VALUE(LEFT(S145,3)),料號對照!$A:$B,2,0),IFERROR(VLOOKUP(VALUE(LEFT(S145,1)),料號對照!$A:$B,2,0),""))</f>
      </c>
    </row>
    <row r="146">
      <c r="N146">
        <f>=IFERROR(VLOOKUP(VALUE(LEFT(M146,3)),料號對照!$A:$B,2,0),IFERROR(VLOOKUP(VALUE(LEFT(M146,1)),料號對照!$A:$B,2,0),""))</f>
      </c>
      <c r="Q146">
        <f>=IFERROR(VLOOKUP(VALUE(LEFT(P146,3)),料號對照!$A:$B,2,0),IFERROR(VLOOKUP(VALUE(LEFT(P146,1)),料號對照!$A:$B,2,0),""))</f>
      </c>
      <c r="T146">
        <f>=IFERROR(VLOOKUP(VALUE(LEFT(S146,3)),料號對照!$A:$B,2,0),IFERROR(VLOOKUP(VALUE(LEFT(S146,1)),料號對照!$A:$B,2,0),""))</f>
      </c>
    </row>
    <row r="147">
      <c r="N147">
        <f>=IFERROR(VLOOKUP(VALUE(LEFT(M147,3)),料號對照!$A:$B,2,0),IFERROR(VLOOKUP(VALUE(LEFT(M147,1)),料號對照!$A:$B,2,0),""))</f>
      </c>
      <c r="Q147">
        <f>=IFERROR(VLOOKUP(VALUE(LEFT(P147,3)),料號對照!$A:$B,2,0),IFERROR(VLOOKUP(VALUE(LEFT(P147,1)),料號對照!$A:$B,2,0),""))</f>
      </c>
      <c r="T147">
        <f>=IFERROR(VLOOKUP(VALUE(LEFT(S147,3)),料號對照!$A:$B,2,0),IFERROR(VLOOKUP(VALUE(LEFT(S147,1)),料號對照!$A:$B,2,0),""))</f>
      </c>
    </row>
    <row r="148">
      <c r="N148">
        <f>=IFERROR(VLOOKUP(VALUE(LEFT(M148,3)),料號對照!$A:$B,2,0),IFERROR(VLOOKUP(VALUE(LEFT(M148,1)),料號對照!$A:$B,2,0),""))</f>
      </c>
      <c r="Q148">
        <f>=IFERROR(VLOOKUP(VALUE(LEFT(P148,3)),料號對照!$A:$B,2,0),IFERROR(VLOOKUP(VALUE(LEFT(P148,1)),料號對照!$A:$B,2,0),""))</f>
      </c>
      <c r="T148">
        <f>=IFERROR(VLOOKUP(VALUE(LEFT(S148,3)),料號對照!$A:$B,2,0),IFERROR(VLOOKUP(VALUE(LEFT(S148,1)),料號對照!$A:$B,2,0),""))</f>
      </c>
    </row>
    <row r="149">
      <c r="N149">
        <f>=IFERROR(VLOOKUP(VALUE(LEFT(M149,3)),料號對照!$A:$B,2,0),IFERROR(VLOOKUP(VALUE(LEFT(M149,1)),料號對照!$A:$B,2,0),""))</f>
      </c>
      <c r="Q149">
        <f>=IFERROR(VLOOKUP(VALUE(LEFT(P149,3)),料號對照!$A:$B,2,0),IFERROR(VLOOKUP(VALUE(LEFT(P149,1)),料號對照!$A:$B,2,0),""))</f>
      </c>
      <c r="T149">
        <f>=IFERROR(VLOOKUP(VALUE(LEFT(S149,3)),料號對照!$A:$B,2,0),IFERROR(VLOOKUP(VALUE(LEFT(S149,1)),料號對照!$A:$B,2,0),""))</f>
      </c>
    </row>
    <row r="150">
      <c r="N150">
        <f>=IFERROR(VLOOKUP(VALUE(LEFT(M150,3)),料號對照!$A:$B,2,0),IFERROR(VLOOKUP(VALUE(LEFT(M150,1)),料號對照!$A:$B,2,0),""))</f>
      </c>
      <c r="Q150">
        <f>=IFERROR(VLOOKUP(VALUE(LEFT(P150,3)),料號對照!$A:$B,2,0),IFERROR(VLOOKUP(VALUE(LEFT(P150,1)),料號對照!$A:$B,2,0),""))</f>
      </c>
      <c r="T150">
        <f>=IFERROR(VLOOKUP(VALUE(LEFT(S150,3)),料號對照!$A:$B,2,0),IFERROR(VLOOKUP(VALUE(LEFT(S150,1)),料號對照!$A:$B,2,0),""))</f>
      </c>
    </row>
    <row r="151">
      <c r="N151">
        <f>=IFERROR(VLOOKUP(VALUE(LEFT(M151,3)),料號對照!$A:$B,2,0),IFERROR(VLOOKUP(VALUE(LEFT(M151,1)),料號對照!$A:$B,2,0),""))</f>
      </c>
      <c r="Q151">
        <f>=IFERROR(VLOOKUP(VALUE(LEFT(P151,3)),料號對照!$A:$B,2,0),IFERROR(VLOOKUP(VALUE(LEFT(P151,1)),料號對照!$A:$B,2,0),""))</f>
      </c>
      <c r="T151">
        <f>=IFERROR(VLOOKUP(VALUE(LEFT(S151,3)),料號對照!$A:$B,2,0),IFERROR(VLOOKUP(VALUE(LEFT(S151,1)),料號對照!$A:$B,2,0),""))</f>
      </c>
    </row>
    <row r="152">
      <c r="N152">
        <f>=IFERROR(VLOOKUP(VALUE(LEFT(M152,3)),料號對照!$A:$B,2,0),IFERROR(VLOOKUP(VALUE(LEFT(M152,1)),料號對照!$A:$B,2,0),""))</f>
      </c>
      <c r="Q152">
        <f>=IFERROR(VLOOKUP(VALUE(LEFT(P152,3)),料號對照!$A:$B,2,0),IFERROR(VLOOKUP(VALUE(LEFT(P152,1)),料號對照!$A:$B,2,0),""))</f>
      </c>
      <c r="T152">
        <f>=IFERROR(VLOOKUP(VALUE(LEFT(S152,3)),料號對照!$A:$B,2,0),IFERROR(VLOOKUP(VALUE(LEFT(S152,1)),料號對照!$A:$B,2,0),""))</f>
      </c>
    </row>
    <row r="153">
      <c r="N153">
        <f>=IFERROR(VLOOKUP(VALUE(LEFT(M153,3)),料號對照!$A:$B,2,0),IFERROR(VLOOKUP(VALUE(LEFT(M153,1)),料號對照!$A:$B,2,0),""))</f>
      </c>
      <c r="Q153">
        <f>=IFERROR(VLOOKUP(VALUE(LEFT(P153,3)),料號對照!$A:$B,2,0),IFERROR(VLOOKUP(VALUE(LEFT(P153,1)),料號對照!$A:$B,2,0),""))</f>
      </c>
      <c r="T153">
        <f>=IFERROR(VLOOKUP(VALUE(LEFT(S153,3)),料號對照!$A:$B,2,0),IFERROR(VLOOKUP(VALUE(LEFT(S153,1)),料號對照!$A:$B,2,0),""))</f>
      </c>
    </row>
    <row r="154">
      <c r="N154">
        <f>=IFERROR(VLOOKUP(VALUE(LEFT(M154,3)),料號對照!$A:$B,2,0),IFERROR(VLOOKUP(VALUE(LEFT(M154,1)),料號對照!$A:$B,2,0),""))</f>
      </c>
      <c r="Q154">
        <f>=IFERROR(VLOOKUP(VALUE(LEFT(P154,3)),料號對照!$A:$B,2,0),IFERROR(VLOOKUP(VALUE(LEFT(P154,1)),料號對照!$A:$B,2,0),""))</f>
      </c>
      <c r="T154">
        <f>=IFERROR(VLOOKUP(VALUE(LEFT(S154,3)),料號對照!$A:$B,2,0),IFERROR(VLOOKUP(VALUE(LEFT(S154,1)),料號對照!$A:$B,2,0),""))</f>
      </c>
    </row>
    <row r="155">
      <c r="N155">
        <f>=IFERROR(VLOOKUP(VALUE(LEFT(M155,3)),料號對照!$A:$B,2,0),IFERROR(VLOOKUP(VALUE(LEFT(M155,1)),料號對照!$A:$B,2,0),""))</f>
      </c>
      <c r="Q155">
        <f>=IFERROR(VLOOKUP(VALUE(LEFT(P155,3)),料號對照!$A:$B,2,0),IFERROR(VLOOKUP(VALUE(LEFT(P155,1)),料號對照!$A:$B,2,0),""))</f>
      </c>
      <c r="T155">
        <f>=IFERROR(VLOOKUP(VALUE(LEFT(S155,3)),料號對照!$A:$B,2,0),IFERROR(VLOOKUP(VALUE(LEFT(S155,1)),料號對照!$A:$B,2,0),""))</f>
      </c>
    </row>
    <row r="156">
      <c r="N156">
        <f>=IFERROR(VLOOKUP(VALUE(LEFT(M156,3)),料號對照!$A:$B,2,0),IFERROR(VLOOKUP(VALUE(LEFT(M156,1)),料號對照!$A:$B,2,0),""))</f>
      </c>
      <c r="Q156">
        <f>=IFERROR(VLOOKUP(VALUE(LEFT(P156,3)),料號對照!$A:$B,2,0),IFERROR(VLOOKUP(VALUE(LEFT(P156,1)),料號對照!$A:$B,2,0),""))</f>
      </c>
      <c r="T156">
        <f>=IFERROR(VLOOKUP(VALUE(LEFT(S156,3)),料號對照!$A:$B,2,0),IFERROR(VLOOKUP(VALUE(LEFT(S156,1)),料號對照!$A:$B,2,0),""))</f>
      </c>
    </row>
    <row r="157">
      <c r="N157">
        <f>=IFERROR(VLOOKUP(VALUE(LEFT(M157,3)),料號對照!$A:$B,2,0),IFERROR(VLOOKUP(VALUE(LEFT(M157,1)),料號對照!$A:$B,2,0),""))</f>
      </c>
      <c r="Q157">
        <f>=IFERROR(VLOOKUP(VALUE(LEFT(P157,3)),料號對照!$A:$B,2,0),IFERROR(VLOOKUP(VALUE(LEFT(P157,1)),料號對照!$A:$B,2,0),""))</f>
      </c>
      <c r="T157">
        <f>=IFERROR(VLOOKUP(VALUE(LEFT(S157,3)),料號對照!$A:$B,2,0),IFERROR(VLOOKUP(VALUE(LEFT(S157,1)),料號對照!$A:$B,2,0),""))</f>
      </c>
    </row>
    <row r="158">
      <c r="N158">
        <f>=IFERROR(VLOOKUP(VALUE(LEFT(M158,3)),料號對照!$A:$B,2,0),IFERROR(VLOOKUP(VALUE(LEFT(M158,1)),料號對照!$A:$B,2,0),""))</f>
      </c>
      <c r="Q158">
        <f>=IFERROR(VLOOKUP(VALUE(LEFT(P158,3)),料號對照!$A:$B,2,0),IFERROR(VLOOKUP(VALUE(LEFT(P158,1)),料號對照!$A:$B,2,0),""))</f>
      </c>
      <c r="T158">
        <f>=IFERROR(VLOOKUP(VALUE(LEFT(S158,3)),料號對照!$A:$B,2,0),IFERROR(VLOOKUP(VALUE(LEFT(S158,1)),料號對照!$A:$B,2,0),""))</f>
      </c>
    </row>
    <row r="159">
      <c r="N159">
        <f>=IFERROR(VLOOKUP(VALUE(LEFT(M159,3)),料號對照!$A:$B,2,0),IFERROR(VLOOKUP(VALUE(LEFT(M159,1)),料號對照!$A:$B,2,0),""))</f>
      </c>
      <c r="Q159">
        <f>=IFERROR(VLOOKUP(VALUE(LEFT(P159,3)),料號對照!$A:$B,2,0),IFERROR(VLOOKUP(VALUE(LEFT(P159,1)),料號對照!$A:$B,2,0),""))</f>
      </c>
      <c r="T159">
        <f>=IFERROR(VLOOKUP(VALUE(LEFT(S159,3)),料號對照!$A:$B,2,0),IFERROR(VLOOKUP(VALUE(LEFT(S159,1)),料號對照!$A:$B,2,0),""))</f>
      </c>
    </row>
    <row r="160">
      <c r="N160">
        <f>=IFERROR(VLOOKUP(VALUE(LEFT(M160,3)),料號對照!$A:$B,2,0),IFERROR(VLOOKUP(VALUE(LEFT(M160,1)),料號對照!$A:$B,2,0),""))</f>
      </c>
      <c r="Q160">
        <f>=IFERROR(VLOOKUP(VALUE(LEFT(P160,3)),料號對照!$A:$B,2,0),IFERROR(VLOOKUP(VALUE(LEFT(P160,1)),料號對照!$A:$B,2,0),""))</f>
      </c>
      <c r="T160">
        <f>=IFERROR(VLOOKUP(VALUE(LEFT(S160,3)),料號對照!$A:$B,2,0),IFERROR(VLOOKUP(VALUE(LEFT(S160,1)),料號對照!$A:$B,2,0),""))</f>
      </c>
    </row>
    <row r="161">
      <c r="N161">
        <f>=IFERROR(VLOOKUP(VALUE(LEFT(M161,3)),料號對照!$A:$B,2,0),IFERROR(VLOOKUP(VALUE(LEFT(M161,1)),料號對照!$A:$B,2,0),""))</f>
      </c>
      <c r="Q161">
        <f>=IFERROR(VLOOKUP(VALUE(LEFT(P161,3)),料號對照!$A:$B,2,0),IFERROR(VLOOKUP(VALUE(LEFT(P161,1)),料號對照!$A:$B,2,0),""))</f>
      </c>
      <c r="T161">
        <f>=IFERROR(VLOOKUP(VALUE(LEFT(S161,3)),料號對照!$A:$B,2,0),IFERROR(VLOOKUP(VALUE(LEFT(S161,1)),料號對照!$A:$B,2,0),""))</f>
      </c>
    </row>
    <row r="162">
      <c r="N162">
        <f>=IFERROR(VLOOKUP(VALUE(LEFT(M162,3)),料號對照!$A:$B,2,0),IFERROR(VLOOKUP(VALUE(LEFT(M162,1)),料號對照!$A:$B,2,0),""))</f>
      </c>
      <c r="Q162">
        <f>=IFERROR(VLOOKUP(VALUE(LEFT(P162,3)),料號對照!$A:$B,2,0),IFERROR(VLOOKUP(VALUE(LEFT(P162,1)),料號對照!$A:$B,2,0),""))</f>
      </c>
      <c r="T162">
        <f>=IFERROR(VLOOKUP(VALUE(LEFT(S162,3)),料號對照!$A:$B,2,0),IFERROR(VLOOKUP(VALUE(LEFT(S162,1)),料號對照!$A:$B,2,0),""))</f>
      </c>
    </row>
    <row r="163">
      <c r="N163">
        <f>=IFERROR(VLOOKUP(VALUE(LEFT(M163,3)),料號對照!$A:$B,2,0),IFERROR(VLOOKUP(VALUE(LEFT(M163,1)),料號對照!$A:$B,2,0),""))</f>
      </c>
      <c r="Q163">
        <f>=IFERROR(VLOOKUP(VALUE(LEFT(P163,3)),料號對照!$A:$B,2,0),IFERROR(VLOOKUP(VALUE(LEFT(P163,1)),料號對照!$A:$B,2,0),""))</f>
      </c>
      <c r="T163">
        <f>=IFERROR(VLOOKUP(VALUE(LEFT(S163,3)),料號對照!$A:$B,2,0),IFERROR(VLOOKUP(VALUE(LEFT(S163,1)),料號對照!$A:$B,2,0),""))</f>
      </c>
    </row>
    <row r="164">
      <c r="N164">
        <f>=IFERROR(VLOOKUP(VALUE(LEFT(M164,3)),料號對照!$A:$B,2,0),IFERROR(VLOOKUP(VALUE(LEFT(M164,1)),料號對照!$A:$B,2,0),""))</f>
      </c>
      <c r="Q164">
        <f>=IFERROR(VLOOKUP(VALUE(LEFT(P164,3)),料號對照!$A:$B,2,0),IFERROR(VLOOKUP(VALUE(LEFT(P164,1)),料號對照!$A:$B,2,0),""))</f>
      </c>
      <c r="T164">
        <f>=IFERROR(VLOOKUP(VALUE(LEFT(S164,3)),料號對照!$A:$B,2,0),IFERROR(VLOOKUP(VALUE(LEFT(S164,1)),料號對照!$A:$B,2,0),""))</f>
      </c>
    </row>
    <row r="165">
      <c r="N165">
        <f>=IFERROR(VLOOKUP(VALUE(LEFT(M165,3)),料號對照!$A:$B,2,0),IFERROR(VLOOKUP(VALUE(LEFT(M165,1)),料號對照!$A:$B,2,0),""))</f>
      </c>
      <c r="Q165">
        <f>=IFERROR(VLOOKUP(VALUE(LEFT(P165,3)),料號對照!$A:$B,2,0),IFERROR(VLOOKUP(VALUE(LEFT(P165,1)),料號對照!$A:$B,2,0),""))</f>
      </c>
      <c r="T165">
        <f>=IFERROR(VLOOKUP(VALUE(LEFT(S165,3)),料號對照!$A:$B,2,0),IFERROR(VLOOKUP(VALUE(LEFT(S165,1)),料號對照!$A:$B,2,0),""))</f>
      </c>
    </row>
    <row r="166">
      <c r="N166">
        <f>=IFERROR(VLOOKUP(VALUE(LEFT(M166,3)),料號對照!$A:$B,2,0),IFERROR(VLOOKUP(VALUE(LEFT(M166,1)),料號對照!$A:$B,2,0),""))</f>
      </c>
      <c r="Q166">
        <f>=IFERROR(VLOOKUP(VALUE(LEFT(P166,3)),料號對照!$A:$B,2,0),IFERROR(VLOOKUP(VALUE(LEFT(P166,1)),料號對照!$A:$B,2,0),""))</f>
      </c>
      <c r="T166">
        <f>=IFERROR(VLOOKUP(VALUE(LEFT(S166,3)),料號對照!$A:$B,2,0),IFERROR(VLOOKUP(VALUE(LEFT(S166,1)),料號對照!$A:$B,2,0),""))</f>
      </c>
    </row>
    <row r="167">
      <c r="N167">
        <f>=IFERROR(VLOOKUP(VALUE(LEFT(M167,3)),料號對照!$A:$B,2,0),IFERROR(VLOOKUP(VALUE(LEFT(M167,1)),料號對照!$A:$B,2,0),""))</f>
      </c>
      <c r="Q167">
        <f>=IFERROR(VLOOKUP(VALUE(LEFT(P167,3)),料號對照!$A:$B,2,0),IFERROR(VLOOKUP(VALUE(LEFT(P167,1)),料號對照!$A:$B,2,0),""))</f>
      </c>
      <c r="T167">
        <f>=IFERROR(VLOOKUP(VALUE(LEFT(S167,3)),料號對照!$A:$B,2,0),IFERROR(VLOOKUP(VALUE(LEFT(S167,1)),料號對照!$A:$B,2,0),""))</f>
      </c>
    </row>
    <row r="168">
      <c r="N168">
        <f>=IFERROR(VLOOKUP(VALUE(LEFT(M168,3)),料號對照!$A:$B,2,0),IFERROR(VLOOKUP(VALUE(LEFT(M168,1)),料號對照!$A:$B,2,0),""))</f>
      </c>
      <c r="Q168">
        <f>=IFERROR(VLOOKUP(VALUE(LEFT(P168,3)),料號對照!$A:$B,2,0),IFERROR(VLOOKUP(VALUE(LEFT(P168,1)),料號對照!$A:$B,2,0),""))</f>
      </c>
      <c r="T168">
        <f>=IFERROR(VLOOKUP(VALUE(LEFT(S168,3)),料號對照!$A:$B,2,0),IFERROR(VLOOKUP(VALUE(LEFT(S168,1)),料號對照!$A:$B,2,0),""))</f>
      </c>
    </row>
    <row r="169">
      <c r="N169">
        <f>=IFERROR(VLOOKUP(VALUE(LEFT(M169,3)),料號對照!$A:$B,2,0),IFERROR(VLOOKUP(VALUE(LEFT(M169,1)),料號對照!$A:$B,2,0),""))</f>
      </c>
      <c r="Q169">
        <f>=IFERROR(VLOOKUP(VALUE(LEFT(P169,3)),料號對照!$A:$B,2,0),IFERROR(VLOOKUP(VALUE(LEFT(P169,1)),料號對照!$A:$B,2,0),""))</f>
      </c>
      <c r="T169">
        <f>=IFERROR(VLOOKUP(VALUE(LEFT(S169,3)),料號對照!$A:$B,2,0),IFERROR(VLOOKUP(VALUE(LEFT(S169,1)),料號對照!$A:$B,2,0),""))</f>
      </c>
    </row>
    <row r="170">
      <c r="N170">
        <f>=IFERROR(VLOOKUP(VALUE(LEFT(M170,3)),料號對照!$A:$B,2,0),IFERROR(VLOOKUP(VALUE(LEFT(M170,1)),料號對照!$A:$B,2,0),""))</f>
      </c>
      <c r="Q170">
        <f>=IFERROR(VLOOKUP(VALUE(LEFT(P170,3)),料號對照!$A:$B,2,0),IFERROR(VLOOKUP(VALUE(LEFT(P170,1)),料號對照!$A:$B,2,0),""))</f>
      </c>
      <c r="T170">
        <f>=IFERROR(VLOOKUP(VALUE(LEFT(S170,3)),料號對照!$A:$B,2,0),IFERROR(VLOOKUP(VALUE(LEFT(S170,1)),料號對照!$A:$B,2,0),""))</f>
      </c>
    </row>
    <row r="171">
      <c r="N171">
        <f>=IFERROR(VLOOKUP(VALUE(LEFT(M171,3)),料號對照!$A:$B,2,0),IFERROR(VLOOKUP(VALUE(LEFT(M171,1)),料號對照!$A:$B,2,0),""))</f>
      </c>
      <c r="Q171">
        <f>=IFERROR(VLOOKUP(VALUE(LEFT(P171,3)),料號對照!$A:$B,2,0),IFERROR(VLOOKUP(VALUE(LEFT(P171,1)),料號對照!$A:$B,2,0),""))</f>
      </c>
      <c r="T171">
        <f>=IFERROR(VLOOKUP(VALUE(LEFT(S171,3)),料號對照!$A:$B,2,0),IFERROR(VLOOKUP(VALUE(LEFT(S171,1)),料號對照!$A:$B,2,0),""))</f>
      </c>
    </row>
    <row r="172">
      <c r="N172">
        <f>=IFERROR(VLOOKUP(VALUE(LEFT(M172,3)),料號對照!$A:$B,2,0),IFERROR(VLOOKUP(VALUE(LEFT(M172,1)),料號對照!$A:$B,2,0),""))</f>
      </c>
      <c r="Q172">
        <f>=IFERROR(VLOOKUP(VALUE(LEFT(P172,3)),料號對照!$A:$B,2,0),IFERROR(VLOOKUP(VALUE(LEFT(P172,1)),料號對照!$A:$B,2,0),""))</f>
      </c>
      <c r="T172">
        <f>=IFERROR(VLOOKUP(VALUE(LEFT(S172,3)),料號對照!$A:$B,2,0),IFERROR(VLOOKUP(VALUE(LEFT(S172,1)),料號對照!$A:$B,2,0),""))</f>
      </c>
    </row>
    <row r="173">
      <c r="N173">
        <f>=IFERROR(VLOOKUP(VALUE(LEFT(M173,3)),料號對照!$A:$B,2,0),IFERROR(VLOOKUP(VALUE(LEFT(M173,1)),料號對照!$A:$B,2,0),""))</f>
      </c>
      <c r="Q173">
        <f>=IFERROR(VLOOKUP(VALUE(LEFT(P173,3)),料號對照!$A:$B,2,0),IFERROR(VLOOKUP(VALUE(LEFT(P173,1)),料號對照!$A:$B,2,0),""))</f>
      </c>
      <c r="T173">
        <f>=IFERROR(VLOOKUP(VALUE(LEFT(S173,3)),料號對照!$A:$B,2,0),IFERROR(VLOOKUP(VALUE(LEFT(S173,1)),料號對照!$A:$B,2,0),""))</f>
      </c>
    </row>
    <row r="174">
      <c r="N174">
        <f>=IFERROR(VLOOKUP(VALUE(LEFT(M174,3)),料號對照!$A:$B,2,0),IFERROR(VLOOKUP(VALUE(LEFT(M174,1)),料號對照!$A:$B,2,0),""))</f>
      </c>
      <c r="Q174">
        <f>=IFERROR(VLOOKUP(VALUE(LEFT(P174,3)),料號對照!$A:$B,2,0),IFERROR(VLOOKUP(VALUE(LEFT(P174,1)),料號對照!$A:$B,2,0),""))</f>
      </c>
      <c r="T174">
        <f>=IFERROR(VLOOKUP(VALUE(LEFT(S174,3)),料號對照!$A:$B,2,0),IFERROR(VLOOKUP(VALUE(LEFT(S174,1)),料號對照!$A:$B,2,0),""))</f>
      </c>
    </row>
    <row r="175">
      <c r="N175">
        <f>=IFERROR(VLOOKUP(VALUE(LEFT(M175,3)),料號對照!$A:$B,2,0),IFERROR(VLOOKUP(VALUE(LEFT(M175,1)),料號對照!$A:$B,2,0),""))</f>
      </c>
      <c r="Q175">
        <f>=IFERROR(VLOOKUP(VALUE(LEFT(P175,3)),料號對照!$A:$B,2,0),IFERROR(VLOOKUP(VALUE(LEFT(P175,1)),料號對照!$A:$B,2,0),""))</f>
      </c>
      <c r="T175">
        <f>=IFERROR(VLOOKUP(VALUE(LEFT(S175,3)),料號對照!$A:$B,2,0),IFERROR(VLOOKUP(VALUE(LEFT(S175,1)),料號對照!$A:$B,2,0),""))</f>
      </c>
    </row>
    <row r="176">
      <c r="N176">
        <f>=IFERROR(VLOOKUP(VALUE(LEFT(M176,3)),料號對照!$A:$B,2,0),IFERROR(VLOOKUP(VALUE(LEFT(M176,1)),料號對照!$A:$B,2,0),""))</f>
      </c>
      <c r="Q176">
        <f>=IFERROR(VLOOKUP(VALUE(LEFT(P176,3)),料號對照!$A:$B,2,0),IFERROR(VLOOKUP(VALUE(LEFT(P176,1)),料號對照!$A:$B,2,0),""))</f>
      </c>
      <c r="T176">
        <f>=IFERROR(VLOOKUP(VALUE(LEFT(S176,3)),料號對照!$A:$B,2,0),IFERROR(VLOOKUP(VALUE(LEFT(S176,1)),料號對照!$A:$B,2,0),""))</f>
      </c>
    </row>
    <row r="177">
      <c r="N177">
        <f>=IFERROR(VLOOKUP(VALUE(LEFT(M177,3)),料號對照!$A:$B,2,0),IFERROR(VLOOKUP(VALUE(LEFT(M177,1)),料號對照!$A:$B,2,0),""))</f>
      </c>
      <c r="Q177">
        <f>=IFERROR(VLOOKUP(VALUE(LEFT(P177,3)),料號對照!$A:$B,2,0),IFERROR(VLOOKUP(VALUE(LEFT(P177,1)),料號對照!$A:$B,2,0),""))</f>
      </c>
      <c r="T177">
        <f>=IFERROR(VLOOKUP(VALUE(LEFT(S177,3)),料號對照!$A:$B,2,0),IFERROR(VLOOKUP(VALUE(LEFT(S177,1)),料號對照!$A:$B,2,0),""))</f>
      </c>
    </row>
    <row r="178">
      <c r="N178">
        <f>=IFERROR(VLOOKUP(VALUE(LEFT(M178,3)),料號對照!$A:$B,2,0),IFERROR(VLOOKUP(VALUE(LEFT(M178,1)),料號對照!$A:$B,2,0),""))</f>
      </c>
      <c r="Q178">
        <f>=IFERROR(VLOOKUP(VALUE(LEFT(P178,3)),料號對照!$A:$B,2,0),IFERROR(VLOOKUP(VALUE(LEFT(P178,1)),料號對照!$A:$B,2,0),""))</f>
      </c>
      <c r="T178">
        <f>=IFERROR(VLOOKUP(VALUE(LEFT(S178,3)),料號對照!$A:$B,2,0),IFERROR(VLOOKUP(VALUE(LEFT(S178,1)),料號對照!$A:$B,2,0),""))</f>
      </c>
    </row>
    <row r="179">
      <c r="N179">
        <f>=IFERROR(VLOOKUP(VALUE(LEFT(M179,3)),料號對照!$A:$B,2,0),IFERROR(VLOOKUP(VALUE(LEFT(M179,1)),料號對照!$A:$B,2,0),""))</f>
      </c>
      <c r="Q179">
        <f>=IFERROR(VLOOKUP(VALUE(LEFT(P179,3)),料號對照!$A:$B,2,0),IFERROR(VLOOKUP(VALUE(LEFT(P179,1)),料號對照!$A:$B,2,0),""))</f>
      </c>
      <c r="T179">
        <f>=IFERROR(VLOOKUP(VALUE(LEFT(S179,3)),料號對照!$A:$B,2,0),IFERROR(VLOOKUP(VALUE(LEFT(S179,1)),料號對照!$A:$B,2,0),""))</f>
      </c>
    </row>
    <row r="180">
      <c r="N180">
        <f>=IFERROR(VLOOKUP(VALUE(LEFT(M180,3)),料號對照!$A:$B,2,0),IFERROR(VLOOKUP(VALUE(LEFT(M180,1)),料號對照!$A:$B,2,0),""))</f>
      </c>
      <c r="Q180">
        <f>=IFERROR(VLOOKUP(VALUE(LEFT(P180,3)),料號對照!$A:$B,2,0),IFERROR(VLOOKUP(VALUE(LEFT(P180,1)),料號對照!$A:$B,2,0),""))</f>
      </c>
      <c r="T180">
        <f>=IFERROR(VLOOKUP(VALUE(LEFT(S180,3)),料號對照!$A:$B,2,0),IFERROR(VLOOKUP(VALUE(LEFT(S180,1)),料號對照!$A:$B,2,0),""))</f>
      </c>
    </row>
    <row r="181">
      <c r="N181">
        <f>=IFERROR(VLOOKUP(VALUE(LEFT(M181,3)),料號對照!$A:$B,2,0),IFERROR(VLOOKUP(VALUE(LEFT(M181,1)),料號對照!$A:$B,2,0),""))</f>
      </c>
      <c r="Q181">
        <f>=IFERROR(VLOOKUP(VALUE(LEFT(P181,3)),料號對照!$A:$B,2,0),IFERROR(VLOOKUP(VALUE(LEFT(P181,1)),料號對照!$A:$B,2,0),""))</f>
      </c>
      <c r="T181">
        <f>=IFERROR(VLOOKUP(VALUE(LEFT(S181,3)),料號對照!$A:$B,2,0),IFERROR(VLOOKUP(VALUE(LEFT(S181,1)),料號對照!$A:$B,2,0),""))</f>
      </c>
    </row>
    <row r="182">
      <c r="N182">
        <f>=IFERROR(VLOOKUP(VALUE(LEFT(M182,3)),料號對照!$A:$B,2,0),IFERROR(VLOOKUP(VALUE(LEFT(M182,1)),料號對照!$A:$B,2,0),""))</f>
      </c>
      <c r="Q182">
        <f>=IFERROR(VLOOKUP(VALUE(LEFT(P182,3)),料號對照!$A:$B,2,0),IFERROR(VLOOKUP(VALUE(LEFT(P182,1)),料號對照!$A:$B,2,0),""))</f>
      </c>
      <c r="T182">
        <f>=IFERROR(VLOOKUP(VALUE(LEFT(S182,3)),料號對照!$A:$B,2,0),IFERROR(VLOOKUP(VALUE(LEFT(S182,1)),料號對照!$A:$B,2,0),""))</f>
      </c>
    </row>
    <row r="183">
      <c r="N183">
        <f>=IFERROR(VLOOKUP(VALUE(LEFT(M183,3)),料號對照!$A:$B,2,0),IFERROR(VLOOKUP(VALUE(LEFT(M183,1)),料號對照!$A:$B,2,0),""))</f>
      </c>
      <c r="Q183">
        <f>=IFERROR(VLOOKUP(VALUE(LEFT(P183,3)),料號對照!$A:$B,2,0),IFERROR(VLOOKUP(VALUE(LEFT(P183,1)),料號對照!$A:$B,2,0),""))</f>
      </c>
      <c r="T183">
        <f>=IFERROR(VLOOKUP(VALUE(LEFT(S183,3)),料號對照!$A:$B,2,0),IFERROR(VLOOKUP(VALUE(LEFT(S183,1)),料號對照!$A:$B,2,0),""))</f>
      </c>
    </row>
    <row r="184">
      <c r="N184">
        <f>=IFERROR(VLOOKUP(VALUE(LEFT(M184,3)),料號對照!$A:$B,2,0),IFERROR(VLOOKUP(VALUE(LEFT(M184,1)),料號對照!$A:$B,2,0),""))</f>
      </c>
      <c r="Q184">
        <f>=IFERROR(VLOOKUP(VALUE(LEFT(P184,3)),料號對照!$A:$B,2,0),IFERROR(VLOOKUP(VALUE(LEFT(P184,1)),料號對照!$A:$B,2,0),""))</f>
      </c>
      <c r="T184">
        <f>=IFERROR(VLOOKUP(VALUE(LEFT(S184,3)),料號對照!$A:$B,2,0),IFERROR(VLOOKUP(VALUE(LEFT(S184,1)),料號對照!$A:$B,2,0),""))</f>
      </c>
    </row>
    <row r="185">
      <c r="N185">
        <f>=IFERROR(VLOOKUP(VALUE(LEFT(M185,3)),料號對照!$A:$B,2,0),IFERROR(VLOOKUP(VALUE(LEFT(M185,1)),料號對照!$A:$B,2,0),""))</f>
      </c>
      <c r="Q185">
        <f>=IFERROR(VLOOKUP(VALUE(LEFT(P185,3)),料號對照!$A:$B,2,0),IFERROR(VLOOKUP(VALUE(LEFT(P185,1)),料號對照!$A:$B,2,0),""))</f>
      </c>
      <c r="T185">
        <f>=IFERROR(VLOOKUP(VALUE(LEFT(S185,3)),料號對照!$A:$B,2,0),IFERROR(VLOOKUP(VALUE(LEFT(S185,1)),料號對照!$A:$B,2,0),""))</f>
      </c>
    </row>
    <row r="186">
      <c r="N186">
        <f>=IFERROR(VLOOKUP(VALUE(LEFT(M186,3)),料號對照!$A:$B,2,0),IFERROR(VLOOKUP(VALUE(LEFT(M186,1)),料號對照!$A:$B,2,0),""))</f>
      </c>
      <c r="Q186">
        <f>=IFERROR(VLOOKUP(VALUE(LEFT(P186,3)),料號對照!$A:$B,2,0),IFERROR(VLOOKUP(VALUE(LEFT(P186,1)),料號對照!$A:$B,2,0),""))</f>
      </c>
      <c r="T186">
        <f>=IFERROR(VLOOKUP(VALUE(LEFT(S186,3)),料號對照!$A:$B,2,0),IFERROR(VLOOKUP(VALUE(LEFT(S186,1)),料號對照!$A:$B,2,0),""))</f>
      </c>
    </row>
    <row r="187">
      <c r="N187">
        <f>=IFERROR(VLOOKUP(VALUE(LEFT(M187,3)),料號對照!$A:$B,2,0),IFERROR(VLOOKUP(VALUE(LEFT(M187,1)),料號對照!$A:$B,2,0),""))</f>
      </c>
      <c r="Q187">
        <f>=IFERROR(VLOOKUP(VALUE(LEFT(P187,3)),料號對照!$A:$B,2,0),IFERROR(VLOOKUP(VALUE(LEFT(P187,1)),料號對照!$A:$B,2,0),""))</f>
      </c>
      <c r="T187">
        <f>=IFERROR(VLOOKUP(VALUE(LEFT(S187,3)),料號對照!$A:$B,2,0),IFERROR(VLOOKUP(VALUE(LEFT(S187,1)),料號對照!$A:$B,2,0),""))</f>
      </c>
    </row>
    <row r="188">
      <c r="N188">
        <f>=IFERROR(VLOOKUP(VALUE(LEFT(M188,3)),料號對照!$A:$B,2,0),IFERROR(VLOOKUP(VALUE(LEFT(M188,1)),料號對照!$A:$B,2,0),""))</f>
      </c>
      <c r="Q188">
        <f>=IFERROR(VLOOKUP(VALUE(LEFT(P188,3)),料號對照!$A:$B,2,0),IFERROR(VLOOKUP(VALUE(LEFT(P188,1)),料號對照!$A:$B,2,0),""))</f>
      </c>
      <c r="T188">
        <f>=IFERROR(VLOOKUP(VALUE(LEFT(S188,3)),料號對照!$A:$B,2,0),IFERROR(VLOOKUP(VALUE(LEFT(S188,1)),料號對照!$A:$B,2,0),""))</f>
      </c>
    </row>
    <row r="189">
      <c r="N189">
        <f>=IFERROR(VLOOKUP(VALUE(LEFT(M189,3)),料號對照!$A:$B,2,0),IFERROR(VLOOKUP(VALUE(LEFT(M189,1)),料號對照!$A:$B,2,0),""))</f>
      </c>
      <c r="Q189">
        <f>=IFERROR(VLOOKUP(VALUE(LEFT(P189,3)),料號對照!$A:$B,2,0),IFERROR(VLOOKUP(VALUE(LEFT(P189,1)),料號對照!$A:$B,2,0),""))</f>
      </c>
      <c r="T189">
        <f>=IFERROR(VLOOKUP(VALUE(LEFT(S189,3)),料號對照!$A:$B,2,0),IFERROR(VLOOKUP(VALUE(LEFT(S189,1)),料號對照!$A:$B,2,0),""))</f>
      </c>
    </row>
    <row r="190">
      <c r="N190">
        <f>=IFERROR(VLOOKUP(VALUE(LEFT(M190,3)),料號對照!$A:$B,2,0),IFERROR(VLOOKUP(VALUE(LEFT(M190,1)),料號對照!$A:$B,2,0),""))</f>
      </c>
      <c r="Q190">
        <f>=IFERROR(VLOOKUP(VALUE(LEFT(P190,3)),料號對照!$A:$B,2,0),IFERROR(VLOOKUP(VALUE(LEFT(P190,1)),料號對照!$A:$B,2,0),""))</f>
      </c>
      <c r="T190">
        <f>=IFERROR(VLOOKUP(VALUE(LEFT(S190,3)),料號對照!$A:$B,2,0),IFERROR(VLOOKUP(VALUE(LEFT(S190,1)),料號對照!$A:$B,2,0),""))</f>
      </c>
    </row>
    <row r="191">
      <c r="N191">
        <f>=IFERROR(VLOOKUP(VALUE(LEFT(M191,3)),料號對照!$A:$B,2,0),IFERROR(VLOOKUP(VALUE(LEFT(M191,1)),料號對照!$A:$B,2,0),""))</f>
      </c>
      <c r="Q191">
        <f>=IFERROR(VLOOKUP(VALUE(LEFT(P191,3)),料號對照!$A:$B,2,0),IFERROR(VLOOKUP(VALUE(LEFT(P191,1)),料號對照!$A:$B,2,0),""))</f>
      </c>
      <c r="T191">
        <f>=IFERROR(VLOOKUP(VALUE(LEFT(S191,3)),料號對照!$A:$B,2,0),IFERROR(VLOOKUP(VALUE(LEFT(S191,1)),料號對照!$A:$B,2,0),""))</f>
      </c>
    </row>
    <row r="192">
      <c r="N192">
        <f>=IFERROR(VLOOKUP(VALUE(LEFT(M192,3)),料號對照!$A:$B,2,0),IFERROR(VLOOKUP(VALUE(LEFT(M192,1)),料號對照!$A:$B,2,0),""))</f>
      </c>
      <c r="Q192">
        <f>=IFERROR(VLOOKUP(VALUE(LEFT(P192,3)),料號對照!$A:$B,2,0),IFERROR(VLOOKUP(VALUE(LEFT(P192,1)),料號對照!$A:$B,2,0),""))</f>
      </c>
      <c r="T192">
        <f>=IFERROR(VLOOKUP(VALUE(LEFT(S192,3)),料號對照!$A:$B,2,0),IFERROR(VLOOKUP(VALUE(LEFT(S192,1)),料號對照!$A:$B,2,0),""))</f>
      </c>
    </row>
    <row r="193">
      <c r="N193">
        <f>=IFERROR(VLOOKUP(VALUE(LEFT(M193,3)),料號對照!$A:$B,2,0),IFERROR(VLOOKUP(VALUE(LEFT(M193,1)),料號對照!$A:$B,2,0),""))</f>
      </c>
      <c r="Q193">
        <f>=IFERROR(VLOOKUP(VALUE(LEFT(P193,3)),料號對照!$A:$B,2,0),IFERROR(VLOOKUP(VALUE(LEFT(P193,1)),料號對照!$A:$B,2,0),""))</f>
      </c>
      <c r="T193">
        <f>=IFERROR(VLOOKUP(VALUE(LEFT(S193,3)),料號對照!$A:$B,2,0),IFERROR(VLOOKUP(VALUE(LEFT(S193,1)),料號對照!$A:$B,2,0),""))</f>
      </c>
    </row>
    <row r="194">
      <c r="N194">
        <f>=IFERROR(VLOOKUP(VALUE(LEFT(M194,3)),料號對照!$A:$B,2,0),IFERROR(VLOOKUP(VALUE(LEFT(M194,1)),料號對照!$A:$B,2,0),""))</f>
      </c>
      <c r="Q194">
        <f>=IFERROR(VLOOKUP(VALUE(LEFT(P194,3)),料號對照!$A:$B,2,0),IFERROR(VLOOKUP(VALUE(LEFT(P194,1)),料號對照!$A:$B,2,0),""))</f>
      </c>
      <c r="T194">
        <f>=IFERROR(VLOOKUP(VALUE(LEFT(S194,3)),料號對照!$A:$B,2,0),IFERROR(VLOOKUP(VALUE(LEFT(S194,1)),料號對照!$A:$B,2,0),""))</f>
      </c>
    </row>
    <row r="195">
      <c r="N195">
        <f>=IFERROR(VLOOKUP(VALUE(LEFT(M195,3)),料號對照!$A:$B,2,0),IFERROR(VLOOKUP(VALUE(LEFT(M195,1)),料號對照!$A:$B,2,0),""))</f>
      </c>
      <c r="Q195">
        <f>=IFERROR(VLOOKUP(VALUE(LEFT(P195,3)),料號對照!$A:$B,2,0),IFERROR(VLOOKUP(VALUE(LEFT(P195,1)),料號對照!$A:$B,2,0),""))</f>
      </c>
      <c r="T195">
        <f>=IFERROR(VLOOKUP(VALUE(LEFT(S195,3)),料號對照!$A:$B,2,0),IFERROR(VLOOKUP(VALUE(LEFT(S195,1)),料號對照!$A:$B,2,0),""))</f>
      </c>
    </row>
    <row r="196">
      <c r="N196">
        <f>=IFERROR(VLOOKUP(VALUE(LEFT(M196,3)),料號對照!$A:$B,2,0),IFERROR(VLOOKUP(VALUE(LEFT(M196,1)),料號對照!$A:$B,2,0),""))</f>
      </c>
      <c r="Q196">
        <f>=IFERROR(VLOOKUP(VALUE(LEFT(P196,3)),料號對照!$A:$B,2,0),IFERROR(VLOOKUP(VALUE(LEFT(P196,1)),料號對照!$A:$B,2,0),""))</f>
      </c>
      <c r="T196">
        <f>=IFERROR(VLOOKUP(VALUE(LEFT(S196,3)),料號對照!$A:$B,2,0),IFERROR(VLOOKUP(VALUE(LEFT(S196,1)),料號對照!$A:$B,2,0),""))</f>
      </c>
    </row>
    <row r="197">
      <c r="N197">
        <f>=IFERROR(VLOOKUP(VALUE(LEFT(M197,3)),料號對照!$A:$B,2,0),IFERROR(VLOOKUP(VALUE(LEFT(M197,1)),料號對照!$A:$B,2,0),""))</f>
      </c>
      <c r="Q197">
        <f>=IFERROR(VLOOKUP(VALUE(LEFT(P197,3)),料號對照!$A:$B,2,0),IFERROR(VLOOKUP(VALUE(LEFT(P197,1)),料號對照!$A:$B,2,0),""))</f>
      </c>
      <c r="T197">
        <f>=IFERROR(VLOOKUP(VALUE(LEFT(S197,3)),料號對照!$A:$B,2,0),IFERROR(VLOOKUP(VALUE(LEFT(S197,1)),料號對照!$A:$B,2,0),""))</f>
      </c>
    </row>
    <row r="198">
      <c r="N198">
        <f>=IFERROR(VLOOKUP(VALUE(LEFT(M198,3)),料號對照!$A:$B,2,0),IFERROR(VLOOKUP(VALUE(LEFT(M198,1)),料號對照!$A:$B,2,0),""))</f>
      </c>
      <c r="Q198">
        <f>=IFERROR(VLOOKUP(VALUE(LEFT(P198,3)),料號對照!$A:$B,2,0),IFERROR(VLOOKUP(VALUE(LEFT(P198,1)),料號對照!$A:$B,2,0),""))</f>
      </c>
      <c r="T198">
        <f>=IFERROR(VLOOKUP(VALUE(LEFT(S198,3)),料號對照!$A:$B,2,0),IFERROR(VLOOKUP(VALUE(LEFT(S198,1)),料號對照!$A:$B,2,0),""))</f>
      </c>
    </row>
    <row r="199">
      <c r="N199">
        <f>=IFERROR(VLOOKUP(VALUE(LEFT(M199,3)),料號對照!$A:$B,2,0),IFERROR(VLOOKUP(VALUE(LEFT(M199,1)),料號對照!$A:$B,2,0),""))</f>
      </c>
      <c r="Q199">
        <f>=IFERROR(VLOOKUP(VALUE(LEFT(P199,3)),料號對照!$A:$B,2,0),IFERROR(VLOOKUP(VALUE(LEFT(P199,1)),料號對照!$A:$B,2,0),""))</f>
      </c>
      <c r="T199">
        <f>=IFERROR(VLOOKUP(VALUE(LEFT(S199,3)),料號對照!$A:$B,2,0),IFERROR(VLOOKUP(VALUE(LEFT(S199,1)),料號對照!$A:$B,2,0),""))</f>
      </c>
    </row>
    <row r="200">
      <c r="N200">
        <f>=IFERROR(VLOOKUP(VALUE(LEFT(M200,3)),料號對照!$A:$B,2,0),IFERROR(VLOOKUP(VALUE(LEFT(M200,1)),料號對照!$A:$B,2,0),""))</f>
      </c>
      <c r="Q200">
        <f>=IFERROR(VLOOKUP(VALUE(LEFT(P200,3)),料號對照!$A:$B,2,0),IFERROR(VLOOKUP(VALUE(LEFT(P200,1)),料號對照!$A:$B,2,0),""))</f>
      </c>
      <c r="T200">
        <f>=IFERROR(VLOOKUP(VALUE(LEFT(S200,3)),料號對照!$A:$B,2,0),IFERROR(VLOOKUP(VALUE(LEFT(S200,1)),料號對照!$A:$B,2,0),""))</f>
      </c>
    </row>
    <row r="201">
      <c r="N201">
        <f>=IFERROR(VLOOKUP(VALUE(LEFT(M201,3)),料號對照!$A:$B,2,0),IFERROR(VLOOKUP(VALUE(LEFT(M201,1)),料號對照!$A:$B,2,0),""))</f>
      </c>
      <c r="Q201">
        <f>=IFERROR(VLOOKUP(VALUE(LEFT(P201,3)),料號對照!$A:$B,2,0),IFERROR(VLOOKUP(VALUE(LEFT(P201,1)),料號對照!$A:$B,2,0),""))</f>
      </c>
      <c r="T201">
        <f>=IFERROR(VLOOKUP(VALUE(LEFT(S201,3)),料號對照!$A:$B,2,0),IFERROR(VLOOKUP(VALUE(LEFT(S201,1)),料號對照!$A:$B,2,0),""))</f>
      </c>
    </row>
    <row r="202">
      <c r="N202">
        <f>=IFERROR(VLOOKUP(VALUE(LEFT(M202,3)),料號對照!$A:$B,2,0),IFERROR(VLOOKUP(VALUE(LEFT(M202,1)),料號對照!$A:$B,2,0),""))</f>
      </c>
      <c r="Q202">
        <f>=IFERROR(VLOOKUP(VALUE(LEFT(P202,3)),料號對照!$A:$B,2,0),IFERROR(VLOOKUP(VALUE(LEFT(P202,1)),料號對照!$A:$B,2,0),""))</f>
      </c>
      <c r="T202">
        <f>=IFERROR(VLOOKUP(VALUE(LEFT(S202,3)),料號對照!$A:$B,2,0),IFERROR(VLOOKUP(VALUE(LEFT(S202,1)),料號對照!$A:$B,2,0),""))</f>
      </c>
    </row>
    <row r="203">
      <c r="N203">
        <f>=IFERROR(VLOOKUP(VALUE(LEFT(M203,3)),料號對照!$A:$B,2,0),IFERROR(VLOOKUP(VALUE(LEFT(M203,1)),料號對照!$A:$B,2,0),""))</f>
      </c>
      <c r="Q203">
        <f>=IFERROR(VLOOKUP(VALUE(LEFT(P203,3)),料號對照!$A:$B,2,0),IFERROR(VLOOKUP(VALUE(LEFT(P203,1)),料號對照!$A:$B,2,0),""))</f>
      </c>
      <c r="T203">
        <f>=IFERROR(VLOOKUP(VALUE(LEFT(S203,3)),料號對照!$A:$B,2,0),IFERROR(VLOOKUP(VALUE(LEFT(S203,1)),料號對照!$A:$B,2,0),""))</f>
      </c>
    </row>
    <row r="204">
      <c r="N204">
        <f>=IFERROR(VLOOKUP(VALUE(LEFT(M204,3)),料號對照!$A:$B,2,0),IFERROR(VLOOKUP(VALUE(LEFT(M204,1)),料號對照!$A:$B,2,0),""))</f>
      </c>
      <c r="Q204">
        <f>=IFERROR(VLOOKUP(VALUE(LEFT(P204,3)),料號對照!$A:$B,2,0),IFERROR(VLOOKUP(VALUE(LEFT(P204,1)),料號對照!$A:$B,2,0),""))</f>
      </c>
      <c r="T204">
        <f>=IFERROR(VLOOKUP(VALUE(LEFT(S204,3)),料號對照!$A:$B,2,0),IFERROR(VLOOKUP(VALUE(LEFT(S204,1)),料號對照!$A:$B,2,0),""))</f>
      </c>
    </row>
    <row r="205">
      <c r="N205">
        <f>=IFERROR(VLOOKUP(VALUE(LEFT(M205,3)),料號對照!$A:$B,2,0),IFERROR(VLOOKUP(VALUE(LEFT(M205,1)),料號對照!$A:$B,2,0),""))</f>
      </c>
      <c r="Q205">
        <f>=IFERROR(VLOOKUP(VALUE(LEFT(P205,3)),料號對照!$A:$B,2,0),IFERROR(VLOOKUP(VALUE(LEFT(P205,1)),料號對照!$A:$B,2,0),""))</f>
      </c>
      <c r="T205">
        <f>=IFERROR(VLOOKUP(VALUE(LEFT(S205,3)),料號對照!$A:$B,2,0),IFERROR(VLOOKUP(VALUE(LEFT(S205,1)),料號對照!$A:$B,2,0),""))</f>
      </c>
    </row>
    <row r="206">
      <c r="N206">
        <f>=IFERROR(VLOOKUP(VALUE(LEFT(M206,3)),料號對照!$A:$B,2,0),IFERROR(VLOOKUP(VALUE(LEFT(M206,1)),料號對照!$A:$B,2,0),""))</f>
      </c>
      <c r="Q206">
        <f>=IFERROR(VLOOKUP(VALUE(LEFT(P206,3)),料號對照!$A:$B,2,0),IFERROR(VLOOKUP(VALUE(LEFT(P206,1)),料號對照!$A:$B,2,0),""))</f>
      </c>
      <c r="T206">
        <f>=IFERROR(VLOOKUP(VALUE(LEFT(S206,3)),料號對照!$A:$B,2,0),IFERROR(VLOOKUP(VALUE(LEFT(S206,1)),料號對照!$A:$B,2,0),""))</f>
      </c>
    </row>
    <row r="207">
      <c r="N207">
        <f>=IFERROR(VLOOKUP(VALUE(LEFT(M207,3)),料號對照!$A:$B,2,0),IFERROR(VLOOKUP(VALUE(LEFT(M207,1)),料號對照!$A:$B,2,0),""))</f>
      </c>
      <c r="Q207">
        <f>=IFERROR(VLOOKUP(VALUE(LEFT(P207,3)),料號對照!$A:$B,2,0),IFERROR(VLOOKUP(VALUE(LEFT(P207,1)),料號對照!$A:$B,2,0),""))</f>
      </c>
      <c r="T207">
        <f>=IFERROR(VLOOKUP(VALUE(LEFT(S207,3)),料號對照!$A:$B,2,0),IFERROR(VLOOKUP(VALUE(LEFT(S207,1)),料號對照!$A:$B,2,0),""))</f>
      </c>
    </row>
    <row r="208">
      <c r="N208">
        <f>=IFERROR(VLOOKUP(VALUE(LEFT(M208,3)),料號對照!$A:$B,2,0),IFERROR(VLOOKUP(VALUE(LEFT(M208,1)),料號對照!$A:$B,2,0),""))</f>
      </c>
      <c r="Q208">
        <f>=IFERROR(VLOOKUP(VALUE(LEFT(P208,3)),料號對照!$A:$B,2,0),IFERROR(VLOOKUP(VALUE(LEFT(P208,1)),料號對照!$A:$B,2,0),""))</f>
      </c>
      <c r="T208">
        <f>=IFERROR(VLOOKUP(VALUE(LEFT(S208,3)),料號對照!$A:$B,2,0),IFERROR(VLOOKUP(VALUE(LEFT(S208,1)),料號對照!$A:$B,2,0),""))</f>
      </c>
    </row>
    <row r="209">
      <c r="N209">
        <f>=IFERROR(VLOOKUP(VALUE(LEFT(M209,3)),料號對照!$A:$B,2,0),IFERROR(VLOOKUP(VALUE(LEFT(M209,1)),料號對照!$A:$B,2,0),""))</f>
      </c>
      <c r="Q209">
        <f>=IFERROR(VLOOKUP(VALUE(LEFT(P209,3)),料號對照!$A:$B,2,0),IFERROR(VLOOKUP(VALUE(LEFT(P209,1)),料號對照!$A:$B,2,0),""))</f>
      </c>
      <c r="T209">
        <f>=IFERROR(VLOOKUP(VALUE(LEFT(S209,3)),料號對照!$A:$B,2,0),IFERROR(VLOOKUP(VALUE(LEFT(S209,1)),料號對照!$A:$B,2,0),""))</f>
      </c>
    </row>
    <row r="210">
      <c r="N210">
        <f>=IFERROR(VLOOKUP(VALUE(LEFT(M210,3)),料號對照!$A:$B,2,0),IFERROR(VLOOKUP(VALUE(LEFT(M210,1)),料號對照!$A:$B,2,0),""))</f>
      </c>
      <c r="Q210">
        <f>=IFERROR(VLOOKUP(VALUE(LEFT(P210,3)),料號對照!$A:$B,2,0),IFERROR(VLOOKUP(VALUE(LEFT(P210,1)),料號對照!$A:$B,2,0),""))</f>
      </c>
      <c r="T210">
        <f>=IFERROR(VLOOKUP(VALUE(LEFT(S210,3)),料號對照!$A:$B,2,0),IFERROR(VLOOKUP(VALUE(LEFT(S210,1)),料號對照!$A:$B,2,0),""))</f>
      </c>
    </row>
    <row r="211">
      <c r="N211">
        <f>=IFERROR(VLOOKUP(VALUE(LEFT(M211,3)),料號對照!$A:$B,2,0),IFERROR(VLOOKUP(VALUE(LEFT(M211,1)),料號對照!$A:$B,2,0),""))</f>
      </c>
      <c r="Q211">
        <f>=IFERROR(VLOOKUP(VALUE(LEFT(P211,3)),料號對照!$A:$B,2,0),IFERROR(VLOOKUP(VALUE(LEFT(P211,1)),料號對照!$A:$B,2,0),""))</f>
      </c>
      <c r="T211">
        <f>=IFERROR(VLOOKUP(VALUE(LEFT(S211,3)),料號對照!$A:$B,2,0),IFERROR(VLOOKUP(VALUE(LEFT(S211,1)),料號對照!$A:$B,2,0),""))</f>
      </c>
    </row>
    <row r="212">
      <c r="N212">
        <f>=IFERROR(VLOOKUP(VALUE(LEFT(M212,3)),料號對照!$A:$B,2,0),IFERROR(VLOOKUP(VALUE(LEFT(M212,1)),料號對照!$A:$B,2,0),""))</f>
      </c>
      <c r="Q212">
        <f>=IFERROR(VLOOKUP(VALUE(LEFT(P212,3)),料號對照!$A:$B,2,0),IFERROR(VLOOKUP(VALUE(LEFT(P212,1)),料號對照!$A:$B,2,0),""))</f>
      </c>
      <c r="T212">
        <f>=IFERROR(VLOOKUP(VALUE(LEFT(S212,3)),料號對照!$A:$B,2,0),IFERROR(VLOOKUP(VALUE(LEFT(S212,1)),料號對照!$A:$B,2,0),""))</f>
      </c>
    </row>
    <row r="213">
      <c r="N213">
        <f>=IFERROR(VLOOKUP(VALUE(LEFT(M213,3)),料號對照!$A:$B,2,0),IFERROR(VLOOKUP(VALUE(LEFT(M213,1)),料號對照!$A:$B,2,0),""))</f>
      </c>
      <c r="Q213">
        <f>=IFERROR(VLOOKUP(VALUE(LEFT(P213,3)),料號對照!$A:$B,2,0),IFERROR(VLOOKUP(VALUE(LEFT(P213,1)),料號對照!$A:$B,2,0),""))</f>
      </c>
      <c r="T213">
        <f>=IFERROR(VLOOKUP(VALUE(LEFT(S213,3)),料號對照!$A:$B,2,0),IFERROR(VLOOKUP(VALUE(LEFT(S213,1)),料號對照!$A:$B,2,0),""))</f>
      </c>
    </row>
    <row r="214">
      <c r="N214">
        <f>=IFERROR(VLOOKUP(VALUE(LEFT(M214,3)),料號對照!$A:$B,2,0),IFERROR(VLOOKUP(VALUE(LEFT(M214,1)),料號對照!$A:$B,2,0),""))</f>
      </c>
      <c r="Q214">
        <f>=IFERROR(VLOOKUP(VALUE(LEFT(P214,3)),料號對照!$A:$B,2,0),IFERROR(VLOOKUP(VALUE(LEFT(P214,1)),料號對照!$A:$B,2,0),""))</f>
      </c>
      <c r="T214">
        <f>=IFERROR(VLOOKUP(VALUE(LEFT(S214,3)),料號對照!$A:$B,2,0),IFERROR(VLOOKUP(VALUE(LEFT(S214,1)),料號對照!$A:$B,2,0),""))</f>
      </c>
    </row>
    <row r="215">
      <c r="N215">
        <f>=IFERROR(VLOOKUP(VALUE(LEFT(M215,3)),料號對照!$A:$B,2,0),IFERROR(VLOOKUP(VALUE(LEFT(M215,1)),料號對照!$A:$B,2,0),""))</f>
      </c>
      <c r="Q215">
        <f>=IFERROR(VLOOKUP(VALUE(LEFT(P215,3)),料號對照!$A:$B,2,0),IFERROR(VLOOKUP(VALUE(LEFT(P215,1)),料號對照!$A:$B,2,0),""))</f>
      </c>
      <c r="T215">
        <f>=IFERROR(VLOOKUP(VALUE(LEFT(S215,3)),料號對照!$A:$B,2,0),IFERROR(VLOOKUP(VALUE(LEFT(S215,1)),料號對照!$A:$B,2,0),""))</f>
      </c>
    </row>
    <row r="216">
      <c r="N216">
        <f>=IFERROR(VLOOKUP(VALUE(LEFT(M216,3)),料號對照!$A:$B,2,0),IFERROR(VLOOKUP(VALUE(LEFT(M216,1)),料號對照!$A:$B,2,0),""))</f>
      </c>
      <c r="Q216">
        <f>=IFERROR(VLOOKUP(VALUE(LEFT(P216,3)),料號對照!$A:$B,2,0),IFERROR(VLOOKUP(VALUE(LEFT(P216,1)),料號對照!$A:$B,2,0),""))</f>
      </c>
      <c r="T216">
        <f>=IFERROR(VLOOKUP(VALUE(LEFT(S216,3)),料號對照!$A:$B,2,0),IFERROR(VLOOKUP(VALUE(LEFT(S216,1)),料號對照!$A:$B,2,0),""))</f>
      </c>
    </row>
    <row r="217">
      <c r="N217">
        <f>=IFERROR(VLOOKUP(VALUE(LEFT(M217,3)),料號對照!$A:$B,2,0),IFERROR(VLOOKUP(VALUE(LEFT(M217,1)),料號對照!$A:$B,2,0),""))</f>
      </c>
      <c r="Q217">
        <f>=IFERROR(VLOOKUP(VALUE(LEFT(P217,3)),料號對照!$A:$B,2,0),IFERROR(VLOOKUP(VALUE(LEFT(P217,1)),料號對照!$A:$B,2,0),""))</f>
      </c>
      <c r="T217">
        <f>=IFERROR(VLOOKUP(VALUE(LEFT(S217,3)),料號對照!$A:$B,2,0),IFERROR(VLOOKUP(VALUE(LEFT(S217,1)),料號對照!$A:$B,2,0),""))</f>
      </c>
    </row>
    <row r="218">
      <c r="N218">
        <f>=IFERROR(VLOOKUP(VALUE(LEFT(M218,3)),料號對照!$A:$B,2,0),IFERROR(VLOOKUP(VALUE(LEFT(M218,1)),料號對照!$A:$B,2,0),""))</f>
      </c>
      <c r="Q218">
        <f>=IFERROR(VLOOKUP(VALUE(LEFT(P218,3)),料號對照!$A:$B,2,0),IFERROR(VLOOKUP(VALUE(LEFT(P218,1)),料號對照!$A:$B,2,0),""))</f>
      </c>
      <c r="T218">
        <f>=IFERROR(VLOOKUP(VALUE(LEFT(S218,3)),料號對照!$A:$B,2,0),IFERROR(VLOOKUP(VALUE(LEFT(S218,1)),料號對照!$A:$B,2,0),""))</f>
      </c>
    </row>
    <row r="219">
      <c r="N219">
        <f>=IFERROR(VLOOKUP(VALUE(LEFT(M219,3)),料號對照!$A:$B,2,0),IFERROR(VLOOKUP(VALUE(LEFT(M219,1)),料號對照!$A:$B,2,0),""))</f>
      </c>
      <c r="Q219">
        <f>=IFERROR(VLOOKUP(VALUE(LEFT(P219,3)),料號對照!$A:$B,2,0),IFERROR(VLOOKUP(VALUE(LEFT(P219,1)),料號對照!$A:$B,2,0),""))</f>
      </c>
      <c r="T219">
        <f>=IFERROR(VLOOKUP(VALUE(LEFT(S219,3)),料號對照!$A:$B,2,0),IFERROR(VLOOKUP(VALUE(LEFT(S219,1)),料號對照!$A:$B,2,0),""))</f>
      </c>
    </row>
    <row r="220">
      <c r="N220">
        <f>=IFERROR(VLOOKUP(VALUE(LEFT(M220,3)),料號對照!$A:$B,2,0),IFERROR(VLOOKUP(VALUE(LEFT(M220,1)),料號對照!$A:$B,2,0),""))</f>
      </c>
      <c r="Q220">
        <f>=IFERROR(VLOOKUP(VALUE(LEFT(P220,3)),料號對照!$A:$B,2,0),IFERROR(VLOOKUP(VALUE(LEFT(P220,1)),料號對照!$A:$B,2,0),""))</f>
      </c>
      <c r="T220">
        <f>=IFERROR(VLOOKUP(VALUE(LEFT(S220,3)),料號對照!$A:$B,2,0),IFERROR(VLOOKUP(VALUE(LEFT(S220,1)),料號對照!$A:$B,2,0),""))</f>
      </c>
    </row>
    <row r="221">
      <c r="N221">
        <f>=IFERROR(VLOOKUP(VALUE(LEFT(M221,3)),料號對照!$A:$B,2,0),IFERROR(VLOOKUP(VALUE(LEFT(M221,1)),料號對照!$A:$B,2,0),""))</f>
      </c>
      <c r="Q221">
        <f>=IFERROR(VLOOKUP(VALUE(LEFT(P221,3)),料號對照!$A:$B,2,0),IFERROR(VLOOKUP(VALUE(LEFT(P221,1)),料號對照!$A:$B,2,0),""))</f>
      </c>
      <c r="T221">
        <f>=IFERROR(VLOOKUP(VALUE(LEFT(S221,3)),料號對照!$A:$B,2,0),IFERROR(VLOOKUP(VALUE(LEFT(S221,1)),料號對照!$A:$B,2,0),""))</f>
      </c>
    </row>
    <row r="222">
      <c r="N222">
        <f>=IFERROR(VLOOKUP(VALUE(LEFT(M222,3)),料號對照!$A:$B,2,0),IFERROR(VLOOKUP(VALUE(LEFT(M222,1)),料號對照!$A:$B,2,0),""))</f>
      </c>
      <c r="Q222">
        <f>=IFERROR(VLOOKUP(VALUE(LEFT(P222,3)),料號對照!$A:$B,2,0),IFERROR(VLOOKUP(VALUE(LEFT(P222,1)),料號對照!$A:$B,2,0),""))</f>
      </c>
      <c r="T222">
        <f>=IFERROR(VLOOKUP(VALUE(LEFT(S222,3)),料號對照!$A:$B,2,0),IFERROR(VLOOKUP(VALUE(LEFT(S222,1)),料號對照!$A:$B,2,0),""))</f>
      </c>
    </row>
    <row r="223">
      <c r="N223">
        <f>=IFERROR(VLOOKUP(VALUE(LEFT(M223,3)),料號對照!$A:$B,2,0),IFERROR(VLOOKUP(VALUE(LEFT(M223,1)),料號對照!$A:$B,2,0),""))</f>
      </c>
      <c r="Q223">
        <f>=IFERROR(VLOOKUP(VALUE(LEFT(P223,3)),料號對照!$A:$B,2,0),IFERROR(VLOOKUP(VALUE(LEFT(P223,1)),料號對照!$A:$B,2,0),""))</f>
      </c>
      <c r="T223">
        <f>=IFERROR(VLOOKUP(VALUE(LEFT(S223,3)),料號對照!$A:$B,2,0),IFERROR(VLOOKUP(VALUE(LEFT(S223,1)),料號對照!$A:$B,2,0),""))</f>
      </c>
    </row>
    <row r="224">
      <c r="N224">
        <f>=IFERROR(VLOOKUP(VALUE(LEFT(M224,3)),料號對照!$A:$B,2,0),IFERROR(VLOOKUP(VALUE(LEFT(M224,1)),料號對照!$A:$B,2,0),""))</f>
      </c>
      <c r="Q224">
        <f>=IFERROR(VLOOKUP(VALUE(LEFT(P224,3)),料號對照!$A:$B,2,0),IFERROR(VLOOKUP(VALUE(LEFT(P224,1)),料號對照!$A:$B,2,0),""))</f>
      </c>
      <c r="T224">
        <f>=IFERROR(VLOOKUP(VALUE(LEFT(S224,3)),料號對照!$A:$B,2,0),IFERROR(VLOOKUP(VALUE(LEFT(S224,1)),料號對照!$A:$B,2,0),""))</f>
      </c>
    </row>
    <row r="225">
      <c r="N225">
        <f>=IFERROR(VLOOKUP(VALUE(LEFT(M225,3)),料號對照!$A:$B,2,0),IFERROR(VLOOKUP(VALUE(LEFT(M225,1)),料號對照!$A:$B,2,0),""))</f>
      </c>
      <c r="Q225">
        <f>=IFERROR(VLOOKUP(VALUE(LEFT(P225,3)),料號對照!$A:$B,2,0),IFERROR(VLOOKUP(VALUE(LEFT(P225,1)),料號對照!$A:$B,2,0),""))</f>
      </c>
      <c r="T225">
        <f>=IFERROR(VLOOKUP(VALUE(LEFT(S225,3)),料號對照!$A:$B,2,0),IFERROR(VLOOKUP(VALUE(LEFT(S225,1)),料號對照!$A:$B,2,0),""))</f>
      </c>
    </row>
    <row r="226">
      <c r="N226">
        <f>=IFERROR(VLOOKUP(VALUE(LEFT(M226,3)),料號對照!$A:$B,2,0),IFERROR(VLOOKUP(VALUE(LEFT(M226,1)),料號對照!$A:$B,2,0),""))</f>
      </c>
      <c r="Q226">
        <f>=IFERROR(VLOOKUP(VALUE(LEFT(P226,3)),料號對照!$A:$B,2,0),IFERROR(VLOOKUP(VALUE(LEFT(P226,1)),料號對照!$A:$B,2,0),""))</f>
      </c>
      <c r="T226">
        <f>=IFERROR(VLOOKUP(VALUE(LEFT(S226,3)),料號對照!$A:$B,2,0),IFERROR(VLOOKUP(VALUE(LEFT(S226,1)),料號對照!$A:$B,2,0),""))</f>
      </c>
    </row>
    <row r="227">
      <c r="N227">
        <f>=IFERROR(VLOOKUP(VALUE(LEFT(M227,3)),料號對照!$A:$B,2,0),IFERROR(VLOOKUP(VALUE(LEFT(M227,1)),料號對照!$A:$B,2,0),""))</f>
      </c>
      <c r="Q227">
        <f>=IFERROR(VLOOKUP(VALUE(LEFT(P227,3)),料號對照!$A:$B,2,0),IFERROR(VLOOKUP(VALUE(LEFT(P227,1)),料號對照!$A:$B,2,0),""))</f>
      </c>
      <c r="T227">
        <f>=IFERROR(VLOOKUP(VALUE(LEFT(S227,3)),料號對照!$A:$B,2,0),IFERROR(VLOOKUP(VALUE(LEFT(S227,1)),料號對照!$A:$B,2,0),""))</f>
      </c>
    </row>
    <row r="228">
      <c r="N228">
        <f>=IFERROR(VLOOKUP(VALUE(LEFT(M228,3)),料號對照!$A:$B,2,0),IFERROR(VLOOKUP(VALUE(LEFT(M228,1)),料號對照!$A:$B,2,0),""))</f>
      </c>
      <c r="Q228">
        <f>=IFERROR(VLOOKUP(VALUE(LEFT(P228,3)),料號對照!$A:$B,2,0),IFERROR(VLOOKUP(VALUE(LEFT(P228,1)),料號對照!$A:$B,2,0),""))</f>
      </c>
      <c r="T228">
        <f>=IFERROR(VLOOKUP(VALUE(LEFT(S228,3)),料號對照!$A:$B,2,0),IFERROR(VLOOKUP(VALUE(LEFT(S228,1)),料號對照!$A:$B,2,0),""))</f>
      </c>
    </row>
    <row r="229">
      <c r="N229">
        <f>=IFERROR(VLOOKUP(VALUE(LEFT(M229,3)),料號對照!$A:$B,2,0),IFERROR(VLOOKUP(VALUE(LEFT(M229,1)),料號對照!$A:$B,2,0),""))</f>
      </c>
      <c r="Q229">
        <f>=IFERROR(VLOOKUP(VALUE(LEFT(P229,3)),料號對照!$A:$B,2,0),IFERROR(VLOOKUP(VALUE(LEFT(P229,1)),料號對照!$A:$B,2,0),""))</f>
      </c>
      <c r="T229">
        <f>=IFERROR(VLOOKUP(VALUE(LEFT(S229,3)),料號對照!$A:$B,2,0),IFERROR(VLOOKUP(VALUE(LEFT(S229,1)),料號對照!$A:$B,2,0),""))</f>
      </c>
    </row>
    <row r="230">
      <c r="N230">
        <f>=IFERROR(VLOOKUP(VALUE(LEFT(M230,3)),料號對照!$A:$B,2,0),IFERROR(VLOOKUP(VALUE(LEFT(M230,1)),料號對照!$A:$B,2,0),""))</f>
      </c>
      <c r="Q230">
        <f>=IFERROR(VLOOKUP(VALUE(LEFT(P230,3)),料號對照!$A:$B,2,0),IFERROR(VLOOKUP(VALUE(LEFT(P230,1)),料號對照!$A:$B,2,0),""))</f>
      </c>
      <c r="T230">
        <f>=IFERROR(VLOOKUP(VALUE(LEFT(S230,3)),料號對照!$A:$B,2,0),IFERROR(VLOOKUP(VALUE(LEFT(S230,1)),料號對照!$A:$B,2,0),""))</f>
      </c>
    </row>
    <row r="231">
      <c r="N231">
        <f>=IFERROR(VLOOKUP(VALUE(LEFT(M231,3)),料號對照!$A:$B,2,0),IFERROR(VLOOKUP(VALUE(LEFT(M231,1)),料號對照!$A:$B,2,0),""))</f>
      </c>
      <c r="Q231">
        <f>=IFERROR(VLOOKUP(VALUE(LEFT(P231,3)),料號對照!$A:$B,2,0),IFERROR(VLOOKUP(VALUE(LEFT(P231,1)),料號對照!$A:$B,2,0),""))</f>
      </c>
      <c r="T231">
        <f>=IFERROR(VLOOKUP(VALUE(LEFT(S231,3)),料號對照!$A:$B,2,0),IFERROR(VLOOKUP(VALUE(LEFT(S231,1)),料號對照!$A:$B,2,0),""))</f>
      </c>
    </row>
    <row r="232">
      <c r="N232">
        <f>=IFERROR(VLOOKUP(VALUE(LEFT(M232,3)),料號對照!$A:$B,2,0),IFERROR(VLOOKUP(VALUE(LEFT(M232,1)),料號對照!$A:$B,2,0),""))</f>
      </c>
      <c r="Q232">
        <f>=IFERROR(VLOOKUP(VALUE(LEFT(P232,3)),料號對照!$A:$B,2,0),IFERROR(VLOOKUP(VALUE(LEFT(P232,1)),料號對照!$A:$B,2,0),""))</f>
      </c>
      <c r="T232">
        <f>=IFERROR(VLOOKUP(VALUE(LEFT(S232,3)),料號對照!$A:$B,2,0),IFERROR(VLOOKUP(VALUE(LEFT(S232,1)),料號對照!$A:$B,2,0),""))</f>
      </c>
    </row>
    <row r="233">
      <c r="N233">
        <f>=IFERROR(VLOOKUP(VALUE(LEFT(M233,3)),料號對照!$A:$B,2,0),IFERROR(VLOOKUP(VALUE(LEFT(M233,1)),料號對照!$A:$B,2,0),""))</f>
      </c>
      <c r="Q233">
        <f>=IFERROR(VLOOKUP(VALUE(LEFT(P233,3)),料號對照!$A:$B,2,0),IFERROR(VLOOKUP(VALUE(LEFT(P233,1)),料號對照!$A:$B,2,0),""))</f>
      </c>
      <c r="T233">
        <f>=IFERROR(VLOOKUP(VALUE(LEFT(S233,3)),料號對照!$A:$B,2,0),IFERROR(VLOOKUP(VALUE(LEFT(S233,1)),料號對照!$A:$B,2,0),""))</f>
      </c>
    </row>
    <row r="234">
      <c r="N234">
        <f>=IFERROR(VLOOKUP(VALUE(LEFT(M234,3)),料號對照!$A:$B,2,0),IFERROR(VLOOKUP(VALUE(LEFT(M234,1)),料號對照!$A:$B,2,0),""))</f>
      </c>
      <c r="Q234">
        <f>=IFERROR(VLOOKUP(VALUE(LEFT(P234,3)),料號對照!$A:$B,2,0),IFERROR(VLOOKUP(VALUE(LEFT(P234,1)),料號對照!$A:$B,2,0),""))</f>
      </c>
      <c r="T234">
        <f>=IFERROR(VLOOKUP(VALUE(LEFT(S234,3)),料號對照!$A:$B,2,0),IFERROR(VLOOKUP(VALUE(LEFT(S234,1)),料號對照!$A:$B,2,0),""))</f>
      </c>
    </row>
    <row r="235">
      <c r="N235">
        <f>=IFERROR(VLOOKUP(VALUE(LEFT(M235,3)),料號對照!$A:$B,2,0),IFERROR(VLOOKUP(VALUE(LEFT(M235,1)),料號對照!$A:$B,2,0),""))</f>
      </c>
      <c r="Q235">
        <f>=IFERROR(VLOOKUP(VALUE(LEFT(P235,3)),料號對照!$A:$B,2,0),IFERROR(VLOOKUP(VALUE(LEFT(P235,1)),料號對照!$A:$B,2,0),""))</f>
      </c>
      <c r="T235">
        <f>=IFERROR(VLOOKUP(VALUE(LEFT(S235,3)),料號對照!$A:$B,2,0),IFERROR(VLOOKUP(VALUE(LEFT(S235,1)),料號對照!$A:$B,2,0),""))</f>
      </c>
    </row>
    <row r="236">
      <c r="N236">
        <f>=IFERROR(VLOOKUP(VALUE(LEFT(M236,3)),料號對照!$A:$B,2,0),IFERROR(VLOOKUP(VALUE(LEFT(M236,1)),料號對照!$A:$B,2,0),""))</f>
      </c>
      <c r="Q236">
        <f>=IFERROR(VLOOKUP(VALUE(LEFT(P236,3)),料號對照!$A:$B,2,0),IFERROR(VLOOKUP(VALUE(LEFT(P236,1)),料號對照!$A:$B,2,0),""))</f>
      </c>
      <c r="T236">
        <f>=IFERROR(VLOOKUP(VALUE(LEFT(S236,3)),料號對照!$A:$B,2,0),IFERROR(VLOOKUP(VALUE(LEFT(S236,1)),料號對照!$A:$B,2,0),""))</f>
      </c>
    </row>
    <row r="237">
      <c r="N237">
        <f>=IFERROR(VLOOKUP(VALUE(LEFT(M237,3)),料號對照!$A:$B,2,0),IFERROR(VLOOKUP(VALUE(LEFT(M237,1)),料號對照!$A:$B,2,0),""))</f>
      </c>
      <c r="Q237">
        <f>=IFERROR(VLOOKUP(VALUE(LEFT(P237,3)),料號對照!$A:$B,2,0),IFERROR(VLOOKUP(VALUE(LEFT(P237,1)),料號對照!$A:$B,2,0),""))</f>
      </c>
      <c r="T237">
        <f>=IFERROR(VLOOKUP(VALUE(LEFT(S237,3)),料號對照!$A:$B,2,0),IFERROR(VLOOKUP(VALUE(LEFT(S237,1)),料號對照!$A:$B,2,0),""))</f>
      </c>
    </row>
    <row r="238">
      <c r="N238">
        <f>=IFERROR(VLOOKUP(VALUE(LEFT(M238,3)),料號對照!$A:$B,2,0),IFERROR(VLOOKUP(VALUE(LEFT(M238,1)),料號對照!$A:$B,2,0),""))</f>
      </c>
      <c r="Q238">
        <f>=IFERROR(VLOOKUP(VALUE(LEFT(P238,3)),料號對照!$A:$B,2,0),IFERROR(VLOOKUP(VALUE(LEFT(P238,1)),料號對照!$A:$B,2,0),""))</f>
      </c>
      <c r="T238">
        <f>=IFERROR(VLOOKUP(VALUE(LEFT(S238,3)),料號對照!$A:$B,2,0),IFERROR(VLOOKUP(VALUE(LEFT(S238,1)),料號對照!$A:$B,2,0),""))</f>
      </c>
    </row>
    <row r="239">
      <c r="N239">
        <f>=IFERROR(VLOOKUP(VALUE(LEFT(M239,3)),料號對照!$A:$B,2,0),IFERROR(VLOOKUP(VALUE(LEFT(M239,1)),料號對照!$A:$B,2,0),""))</f>
      </c>
      <c r="Q239">
        <f>=IFERROR(VLOOKUP(VALUE(LEFT(P239,3)),料號對照!$A:$B,2,0),IFERROR(VLOOKUP(VALUE(LEFT(P239,1)),料號對照!$A:$B,2,0),""))</f>
      </c>
      <c r="T239">
        <f>=IFERROR(VLOOKUP(VALUE(LEFT(S239,3)),料號對照!$A:$B,2,0),IFERROR(VLOOKUP(VALUE(LEFT(S239,1)),料號對照!$A:$B,2,0),""))</f>
      </c>
    </row>
    <row r="240">
      <c r="N240">
        <f>=IFERROR(VLOOKUP(VALUE(LEFT(M240,3)),料號對照!$A:$B,2,0),IFERROR(VLOOKUP(VALUE(LEFT(M240,1)),料號對照!$A:$B,2,0),""))</f>
      </c>
      <c r="Q240">
        <f>=IFERROR(VLOOKUP(VALUE(LEFT(P240,3)),料號對照!$A:$B,2,0),IFERROR(VLOOKUP(VALUE(LEFT(P240,1)),料號對照!$A:$B,2,0),""))</f>
      </c>
      <c r="T240">
        <f>=IFERROR(VLOOKUP(VALUE(LEFT(S240,3)),料號對照!$A:$B,2,0),IFERROR(VLOOKUP(VALUE(LEFT(S240,1)),料號對照!$A:$B,2,0),""))</f>
      </c>
    </row>
    <row r="241">
      <c r="N241">
        <f>=IFERROR(VLOOKUP(VALUE(LEFT(M241,3)),料號對照!$A:$B,2,0),IFERROR(VLOOKUP(VALUE(LEFT(M241,1)),料號對照!$A:$B,2,0),""))</f>
      </c>
      <c r="Q241">
        <f>=IFERROR(VLOOKUP(VALUE(LEFT(P241,3)),料號對照!$A:$B,2,0),IFERROR(VLOOKUP(VALUE(LEFT(P241,1)),料號對照!$A:$B,2,0),""))</f>
      </c>
      <c r="T241">
        <f>=IFERROR(VLOOKUP(VALUE(LEFT(S241,3)),料號對照!$A:$B,2,0),IFERROR(VLOOKUP(VALUE(LEFT(S241,1)),料號對照!$A:$B,2,0),""))</f>
      </c>
    </row>
    <row r="242">
      <c r="N242">
        <f>=IFERROR(VLOOKUP(VALUE(LEFT(M242,3)),料號對照!$A:$B,2,0),IFERROR(VLOOKUP(VALUE(LEFT(M242,1)),料號對照!$A:$B,2,0),""))</f>
      </c>
      <c r="Q242">
        <f>=IFERROR(VLOOKUP(VALUE(LEFT(P242,3)),料號對照!$A:$B,2,0),IFERROR(VLOOKUP(VALUE(LEFT(P242,1)),料號對照!$A:$B,2,0),""))</f>
      </c>
      <c r="T242">
        <f>=IFERROR(VLOOKUP(VALUE(LEFT(S242,3)),料號對照!$A:$B,2,0),IFERROR(VLOOKUP(VALUE(LEFT(S242,1)),料號對照!$A:$B,2,0),""))</f>
      </c>
    </row>
    <row r="243">
      <c r="N243">
        <f>=IFERROR(VLOOKUP(VALUE(LEFT(M243,3)),料號對照!$A:$B,2,0),IFERROR(VLOOKUP(VALUE(LEFT(M243,1)),料號對照!$A:$B,2,0),""))</f>
      </c>
      <c r="Q243">
        <f>=IFERROR(VLOOKUP(VALUE(LEFT(P243,3)),料號對照!$A:$B,2,0),IFERROR(VLOOKUP(VALUE(LEFT(P243,1)),料號對照!$A:$B,2,0),""))</f>
      </c>
      <c r="T243">
        <f>=IFERROR(VLOOKUP(VALUE(LEFT(S243,3)),料號對照!$A:$B,2,0),IFERROR(VLOOKUP(VALUE(LEFT(S243,1)),料號對照!$A:$B,2,0),""))</f>
      </c>
    </row>
    <row r="244">
      <c r="N244">
        <f>=IFERROR(VLOOKUP(VALUE(LEFT(M244,3)),料號對照!$A:$B,2,0),IFERROR(VLOOKUP(VALUE(LEFT(M244,1)),料號對照!$A:$B,2,0),""))</f>
      </c>
      <c r="Q244">
        <f>=IFERROR(VLOOKUP(VALUE(LEFT(P244,3)),料號對照!$A:$B,2,0),IFERROR(VLOOKUP(VALUE(LEFT(P244,1)),料號對照!$A:$B,2,0),""))</f>
      </c>
      <c r="T244">
        <f>=IFERROR(VLOOKUP(VALUE(LEFT(S244,3)),料號對照!$A:$B,2,0),IFERROR(VLOOKUP(VALUE(LEFT(S244,1)),料號對照!$A:$B,2,0),""))</f>
      </c>
    </row>
    <row r="245">
      <c r="N245">
        <f>=IFERROR(VLOOKUP(VALUE(LEFT(M245,3)),料號對照!$A:$B,2,0),IFERROR(VLOOKUP(VALUE(LEFT(M245,1)),料號對照!$A:$B,2,0),""))</f>
      </c>
      <c r="Q245">
        <f>=IFERROR(VLOOKUP(VALUE(LEFT(P245,3)),料號對照!$A:$B,2,0),IFERROR(VLOOKUP(VALUE(LEFT(P245,1)),料號對照!$A:$B,2,0),""))</f>
      </c>
      <c r="T245">
        <f>=IFERROR(VLOOKUP(VALUE(LEFT(S245,3)),料號對照!$A:$B,2,0),IFERROR(VLOOKUP(VALUE(LEFT(S245,1)),料號對照!$A:$B,2,0),""))</f>
      </c>
    </row>
    <row r="246">
      <c r="N246">
        <f>=IFERROR(VLOOKUP(VALUE(LEFT(M246,3)),料號對照!$A:$B,2,0),IFERROR(VLOOKUP(VALUE(LEFT(M246,1)),料號對照!$A:$B,2,0),""))</f>
      </c>
      <c r="Q246">
        <f>=IFERROR(VLOOKUP(VALUE(LEFT(P246,3)),料號對照!$A:$B,2,0),IFERROR(VLOOKUP(VALUE(LEFT(P246,1)),料號對照!$A:$B,2,0),""))</f>
      </c>
      <c r="T246">
        <f>=IFERROR(VLOOKUP(VALUE(LEFT(S246,3)),料號對照!$A:$B,2,0),IFERROR(VLOOKUP(VALUE(LEFT(S246,1)),料號對照!$A:$B,2,0),""))</f>
      </c>
    </row>
    <row r="247">
      <c r="N247">
        <f>=IFERROR(VLOOKUP(VALUE(LEFT(M247,3)),料號對照!$A:$B,2,0),IFERROR(VLOOKUP(VALUE(LEFT(M247,1)),料號對照!$A:$B,2,0),""))</f>
      </c>
      <c r="Q247">
        <f>=IFERROR(VLOOKUP(VALUE(LEFT(P247,3)),料號對照!$A:$B,2,0),IFERROR(VLOOKUP(VALUE(LEFT(P247,1)),料號對照!$A:$B,2,0),""))</f>
      </c>
      <c r="T247">
        <f>=IFERROR(VLOOKUP(VALUE(LEFT(S247,3)),料號對照!$A:$B,2,0),IFERROR(VLOOKUP(VALUE(LEFT(S247,1)),料號對照!$A:$B,2,0),""))</f>
      </c>
    </row>
    <row r="248">
      <c r="N248">
        <f>=IFERROR(VLOOKUP(VALUE(LEFT(M248,3)),料號對照!$A:$B,2,0),IFERROR(VLOOKUP(VALUE(LEFT(M248,1)),料號對照!$A:$B,2,0),""))</f>
      </c>
      <c r="Q248">
        <f>=IFERROR(VLOOKUP(VALUE(LEFT(P248,3)),料號對照!$A:$B,2,0),IFERROR(VLOOKUP(VALUE(LEFT(P248,1)),料號對照!$A:$B,2,0),""))</f>
      </c>
      <c r="T248">
        <f>=IFERROR(VLOOKUP(VALUE(LEFT(S248,3)),料號對照!$A:$B,2,0),IFERROR(VLOOKUP(VALUE(LEFT(S248,1)),料號對照!$A:$B,2,0),""))</f>
      </c>
    </row>
    <row r="249">
      <c r="N249">
        <f>=IFERROR(VLOOKUP(VALUE(LEFT(M249,3)),料號對照!$A:$B,2,0),IFERROR(VLOOKUP(VALUE(LEFT(M249,1)),料號對照!$A:$B,2,0),""))</f>
      </c>
      <c r="Q249">
        <f>=IFERROR(VLOOKUP(VALUE(LEFT(P249,3)),料號對照!$A:$B,2,0),IFERROR(VLOOKUP(VALUE(LEFT(P249,1)),料號對照!$A:$B,2,0),""))</f>
      </c>
      <c r="T249">
        <f>=IFERROR(VLOOKUP(VALUE(LEFT(S249,3)),料號對照!$A:$B,2,0),IFERROR(VLOOKUP(VALUE(LEFT(S249,1)),料號對照!$A:$B,2,0),""))</f>
      </c>
    </row>
    <row r="250">
      <c r="N250">
        <f>=IFERROR(VLOOKUP(VALUE(LEFT(M250,3)),料號對照!$A:$B,2,0),IFERROR(VLOOKUP(VALUE(LEFT(M250,1)),料號對照!$A:$B,2,0),""))</f>
      </c>
      <c r="Q250">
        <f>=IFERROR(VLOOKUP(VALUE(LEFT(P250,3)),料號對照!$A:$B,2,0),IFERROR(VLOOKUP(VALUE(LEFT(P250,1)),料號對照!$A:$B,2,0),""))</f>
      </c>
      <c r="T250">
        <f>=IFERROR(VLOOKUP(VALUE(LEFT(S250,3)),料號對照!$A:$B,2,0),IFERROR(VLOOKUP(VALUE(LEFT(S250,1)),料號對照!$A:$B,2,0),""))</f>
      </c>
    </row>
    <row r="251">
      <c r="N251">
        <f>=IFERROR(VLOOKUP(VALUE(LEFT(M251,3)),料號對照!$A:$B,2,0),IFERROR(VLOOKUP(VALUE(LEFT(M251,1)),料號對照!$A:$B,2,0),""))</f>
      </c>
      <c r="Q251">
        <f>=IFERROR(VLOOKUP(VALUE(LEFT(P251,3)),料號對照!$A:$B,2,0),IFERROR(VLOOKUP(VALUE(LEFT(P251,1)),料號對照!$A:$B,2,0),""))</f>
      </c>
      <c r="T251">
        <f>=IFERROR(VLOOKUP(VALUE(LEFT(S251,3)),料號對照!$A:$B,2,0),IFERROR(VLOOKUP(VALUE(LEFT(S251,1)),料號對照!$A:$B,2,0),""))</f>
      </c>
    </row>
    <row r="252">
      <c r="N252">
        <f>=IFERROR(VLOOKUP(VALUE(LEFT(M252,3)),料號對照!$A:$B,2,0),IFERROR(VLOOKUP(VALUE(LEFT(M252,1)),料號對照!$A:$B,2,0),""))</f>
      </c>
      <c r="Q252">
        <f>=IFERROR(VLOOKUP(VALUE(LEFT(P252,3)),料號對照!$A:$B,2,0),IFERROR(VLOOKUP(VALUE(LEFT(P252,1)),料號對照!$A:$B,2,0),""))</f>
      </c>
      <c r="T252">
        <f>=IFERROR(VLOOKUP(VALUE(LEFT(S252,3)),料號對照!$A:$B,2,0),IFERROR(VLOOKUP(VALUE(LEFT(S252,1)),料號對照!$A:$B,2,0),""))</f>
      </c>
    </row>
    <row r="253">
      <c r="N253">
        <f>=IFERROR(VLOOKUP(VALUE(LEFT(M253,3)),料號對照!$A:$B,2,0),IFERROR(VLOOKUP(VALUE(LEFT(M253,1)),料號對照!$A:$B,2,0),""))</f>
      </c>
      <c r="Q253">
        <f>=IFERROR(VLOOKUP(VALUE(LEFT(P253,3)),料號對照!$A:$B,2,0),IFERROR(VLOOKUP(VALUE(LEFT(P253,1)),料號對照!$A:$B,2,0),""))</f>
      </c>
      <c r="T253">
        <f>=IFERROR(VLOOKUP(VALUE(LEFT(S253,3)),料號對照!$A:$B,2,0),IFERROR(VLOOKUP(VALUE(LEFT(S253,1)),料號對照!$A:$B,2,0),""))</f>
      </c>
    </row>
    <row r="254">
      <c r="N254">
        <f>=IFERROR(VLOOKUP(VALUE(LEFT(M254,3)),料號對照!$A:$B,2,0),IFERROR(VLOOKUP(VALUE(LEFT(M254,1)),料號對照!$A:$B,2,0),""))</f>
      </c>
      <c r="Q254">
        <f>=IFERROR(VLOOKUP(VALUE(LEFT(P254,3)),料號對照!$A:$B,2,0),IFERROR(VLOOKUP(VALUE(LEFT(P254,1)),料號對照!$A:$B,2,0),""))</f>
      </c>
      <c r="T254">
        <f>=IFERROR(VLOOKUP(VALUE(LEFT(S254,3)),料號對照!$A:$B,2,0),IFERROR(VLOOKUP(VALUE(LEFT(S254,1)),料號對照!$A:$B,2,0),""))</f>
      </c>
    </row>
    <row r="255">
      <c r="N255">
        <f>=IFERROR(VLOOKUP(VALUE(LEFT(M255,3)),料號對照!$A:$B,2,0),IFERROR(VLOOKUP(VALUE(LEFT(M255,1)),料號對照!$A:$B,2,0),""))</f>
      </c>
      <c r="Q255">
        <f>=IFERROR(VLOOKUP(VALUE(LEFT(P255,3)),料號對照!$A:$B,2,0),IFERROR(VLOOKUP(VALUE(LEFT(P255,1)),料號對照!$A:$B,2,0),""))</f>
      </c>
      <c r="T255">
        <f>=IFERROR(VLOOKUP(VALUE(LEFT(S255,3)),料號對照!$A:$B,2,0),IFERROR(VLOOKUP(VALUE(LEFT(S255,1)),料號對照!$A:$B,2,0),""))</f>
      </c>
    </row>
    <row r="256">
      <c r="N256">
        <f>=IFERROR(VLOOKUP(VALUE(LEFT(M256,3)),料號對照!$A:$B,2,0),IFERROR(VLOOKUP(VALUE(LEFT(M256,1)),料號對照!$A:$B,2,0),""))</f>
      </c>
      <c r="Q256">
        <f>=IFERROR(VLOOKUP(VALUE(LEFT(P256,3)),料號對照!$A:$B,2,0),IFERROR(VLOOKUP(VALUE(LEFT(P256,1)),料號對照!$A:$B,2,0),""))</f>
      </c>
      <c r="T256">
        <f>=IFERROR(VLOOKUP(VALUE(LEFT(S256,3)),料號對照!$A:$B,2,0),IFERROR(VLOOKUP(VALUE(LEFT(S256,1)),料號對照!$A:$B,2,0),""))</f>
      </c>
    </row>
    <row r="257">
      <c r="N257">
        <f>=IFERROR(VLOOKUP(VALUE(LEFT(M257,3)),料號對照!$A:$B,2,0),IFERROR(VLOOKUP(VALUE(LEFT(M257,1)),料號對照!$A:$B,2,0),""))</f>
      </c>
      <c r="Q257">
        <f>=IFERROR(VLOOKUP(VALUE(LEFT(P257,3)),料號對照!$A:$B,2,0),IFERROR(VLOOKUP(VALUE(LEFT(P257,1)),料號對照!$A:$B,2,0),""))</f>
      </c>
      <c r="T257">
        <f>=IFERROR(VLOOKUP(VALUE(LEFT(S257,3)),料號對照!$A:$B,2,0),IFERROR(VLOOKUP(VALUE(LEFT(S257,1)),料號對照!$A:$B,2,0),""))</f>
      </c>
    </row>
    <row r="258">
      <c r="N258">
        <f>=IFERROR(VLOOKUP(VALUE(LEFT(M258,3)),料號對照!$A:$B,2,0),IFERROR(VLOOKUP(VALUE(LEFT(M258,1)),料號對照!$A:$B,2,0),""))</f>
      </c>
      <c r="Q258">
        <f>=IFERROR(VLOOKUP(VALUE(LEFT(P258,3)),料號對照!$A:$B,2,0),IFERROR(VLOOKUP(VALUE(LEFT(P258,1)),料號對照!$A:$B,2,0),""))</f>
      </c>
      <c r="T258">
        <f>=IFERROR(VLOOKUP(VALUE(LEFT(S258,3)),料號對照!$A:$B,2,0),IFERROR(VLOOKUP(VALUE(LEFT(S258,1)),料號對照!$A:$B,2,0),""))</f>
      </c>
    </row>
    <row r="259">
      <c r="N259">
        <f>=IFERROR(VLOOKUP(VALUE(LEFT(M259,3)),料號對照!$A:$B,2,0),IFERROR(VLOOKUP(VALUE(LEFT(M259,1)),料號對照!$A:$B,2,0),""))</f>
      </c>
      <c r="Q259">
        <f>=IFERROR(VLOOKUP(VALUE(LEFT(P259,3)),料號對照!$A:$B,2,0),IFERROR(VLOOKUP(VALUE(LEFT(P259,1)),料號對照!$A:$B,2,0),""))</f>
      </c>
      <c r="T259">
        <f>=IFERROR(VLOOKUP(VALUE(LEFT(S259,3)),料號對照!$A:$B,2,0),IFERROR(VLOOKUP(VALUE(LEFT(S259,1)),料號對照!$A:$B,2,0),""))</f>
      </c>
    </row>
    <row r="260">
      <c r="N260">
        <f>=IFERROR(VLOOKUP(VALUE(LEFT(M260,3)),料號對照!$A:$B,2,0),IFERROR(VLOOKUP(VALUE(LEFT(M260,1)),料號對照!$A:$B,2,0),""))</f>
      </c>
      <c r="Q260">
        <f>=IFERROR(VLOOKUP(VALUE(LEFT(P260,3)),料號對照!$A:$B,2,0),IFERROR(VLOOKUP(VALUE(LEFT(P260,1)),料號對照!$A:$B,2,0),""))</f>
      </c>
      <c r="T260">
        <f>=IFERROR(VLOOKUP(VALUE(LEFT(S260,3)),料號對照!$A:$B,2,0),IFERROR(VLOOKUP(VALUE(LEFT(S260,1)),料號對照!$A:$B,2,0),""))</f>
      </c>
    </row>
    <row r="261">
      <c r="N261">
        <f>=IFERROR(VLOOKUP(VALUE(LEFT(M261,3)),料號對照!$A:$B,2,0),IFERROR(VLOOKUP(VALUE(LEFT(M261,1)),料號對照!$A:$B,2,0),""))</f>
      </c>
      <c r="Q261">
        <f>=IFERROR(VLOOKUP(VALUE(LEFT(P261,3)),料號對照!$A:$B,2,0),IFERROR(VLOOKUP(VALUE(LEFT(P261,1)),料號對照!$A:$B,2,0),""))</f>
      </c>
      <c r="T261">
        <f>=IFERROR(VLOOKUP(VALUE(LEFT(S261,3)),料號對照!$A:$B,2,0),IFERROR(VLOOKUP(VALUE(LEFT(S261,1)),料號對照!$A:$B,2,0),""))</f>
      </c>
    </row>
    <row r="262">
      <c r="N262">
        <f>=IFERROR(VLOOKUP(VALUE(LEFT(M262,3)),料號對照!$A:$B,2,0),IFERROR(VLOOKUP(VALUE(LEFT(M262,1)),料號對照!$A:$B,2,0),""))</f>
      </c>
      <c r="Q262">
        <f>=IFERROR(VLOOKUP(VALUE(LEFT(P262,3)),料號對照!$A:$B,2,0),IFERROR(VLOOKUP(VALUE(LEFT(P262,1)),料號對照!$A:$B,2,0),""))</f>
      </c>
      <c r="T262">
        <f>=IFERROR(VLOOKUP(VALUE(LEFT(S262,3)),料號對照!$A:$B,2,0),IFERROR(VLOOKUP(VALUE(LEFT(S262,1)),料號對照!$A:$B,2,0),""))</f>
      </c>
    </row>
    <row r="263">
      <c r="N263">
        <f>=IFERROR(VLOOKUP(VALUE(LEFT(M263,3)),料號對照!$A:$B,2,0),IFERROR(VLOOKUP(VALUE(LEFT(M263,1)),料號對照!$A:$B,2,0),""))</f>
      </c>
      <c r="Q263">
        <f>=IFERROR(VLOOKUP(VALUE(LEFT(P263,3)),料號對照!$A:$B,2,0),IFERROR(VLOOKUP(VALUE(LEFT(P263,1)),料號對照!$A:$B,2,0),""))</f>
      </c>
      <c r="T263">
        <f>=IFERROR(VLOOKUP(VALUE(LEFT(S263,3)),料號對照!$A:$B,2,0),IFERROR(VLOOKUP(VALUE(LEFT(S263,1)),料號對照!$A:$B,2,0),""))</f>
      </c>
    </row>
    <row r="264">
      <c r="N264">
        <f>=IFERROR(VLOOKUP(VALUE(LEFT(M264,3)),料號對照!$A:$B,2,0),IFERROR(VLOOKUP(VALUE(LEFT(M264,1)),料號對照!$A:$B,2,0),""))</f>
      </c>
      <c r="Q264">
        <f>=IFERROR(VLOOKUP(VALUE(LEFT(P264,3)),料號對照!$A:$B,2,0),IFERROR(VLOOKUP(VALUE(LEFT(P264,1)),料號對照!$A:$B,2,0),""))</f>
      </c>
      <c r="T264">
        <f>=IFERROR(VLOOKUP(VALUE(LEFT(S264,3)),料號對照!$A:$B,2,0),IFERROR(VLOOKUP(VALUE(LEFT(S264,1)),料號對照!$A:$B,2,0),""))</f>
      </c>
    </row>
    <row r="265">
      <c r="N265">
        <f>=IFERROR(VLOOKUP(VALUE(LEFT(M265,3)),料號對照!$A:$B,2,0),IFERROR(VLOOKUP(VALUE(LEFT(M265,1)),料號對照!$A:$B,2,0),""))</f>
      </c>
      <c r="Q265">
        <f>=IFERROR(VLOOKUP(VALUE(LEFT(P265,3)),料號對照!$A:$B,2,0),IFERROR(VLOOKUP(VALUE(LEFT(P265,1)),料號對照!$A:$B,2,0),""))</f>
      </c>
      <c r="T265">
        <f>=IFERROR(VLOOKUP(VALUE(LEFT(S265,3)),料號對照!$A:$B,2,0),IFERROR(VLOOKUP(VALUE(LEFT(S265,1)),料號對照!$A:$B,2,0),""))</f>
      </c>
    </row>
    <row r="266">
      <c r="N266">
        <f>=IFERROR(VLOOKUP(VALUE(LEFT(M266,3)),料號對照!$A:$B,2,0),IFERROR(VLOOKUP(VALUE(LEFT(M266,1)),料號對照!$A:$B,2,0),""))</f>
      </c>
      <c r="Q266">
        <f>=IFERROR(VLOOKUP(VALUE(LEFT(P266,3)),料號對照!$A:$B,2,0),IFERROR(VLOOKUP(VALUE(LEFT(P266,1)),料號對照!$A:$B,2,0),""))</f>
      </c>
      <c r="T266">
        <f>=IFERROR(VLOOKUP(VALUE(LEFT(S266,3)),料號對照!$A:$B,2,0),IFERROR(VLOOKUP(VALUE(LEFT(S266,1)),料號對照!$A:$B,2,0),""))</f>
      </c>
    </row>
    <row r="267">
      <c r="N267">
        <f>=IFERROR(VLOOKUP(VALUE(LEFT(M267,3)),料號對照!$A:$B,2,0),IFERROR(VLOOKUP(VALUE(LEFT(M267,1)),料號對照!$A:$B,2,0),""))</f>
      </c>
      <c r="Q267">
        <f>=IFERROR(VLOOKUP(VALUE(LEFT(P267,3)),料號對照!$A:$B,2,0),IFERROR(VLOOKUP(VALUE(LEFT(P267,1)),料號對照!$A:$B,2,0),""))</f>
      </c>
      <c r="T267">
        <f>=IFERROR(VLOOKUP(VALUE(LEFT(S267,3)),料號對照!$A:$B,2,0),IFERROR(VLOOKUP(VALUE(LEFT(S267,1)),料號對照!$A:$B,2,0),""))</f>
      </c>
    </row>
    <row r="268">
      <c r="N268">
        <f>=IFERROR(VLOOKUP(VALUE(LEFT(M268,3)),料號對照!$A:$B,2,0),IFERROR(VLOOKUP(VALUE(LEFT(M268,1)),料號對照!$A:$B,2,0),""))</f>
      </c>
      <c r="Q268">
        <f>=IFERROR(VLOOKUP(VALUE(LEFT(P268,3)),料號對照!$A:$B,2,0),IFERROR(VLOOKUP(VALUE(LEFT(P268,1)),料號對照!$A:$B,2,0),""))</f>
      </c>
      <c r="T268">
        <f>=IFERROR(VLOOKUP(VALUE(LEFT(S268,3)),料號對照!$A:$B,2,0),IFERROR(VLOOKUP(VALUE(LEFT(S268,1)),料號對照!$A:$B,2,0),""))</f>
      </c>
    </row>
    <row r="269">
      <c r="N269">
        <f>=IFERROR(VLOOKUP(VALUE(LEFT(M269,3)),料號對照!$A:$B,2,0),IFERROR(VLOOKUP(VALUE(LEFT(M269,1)),料號對照!$A:$B,2,0),""))</f>
      </c>
      <c r="Q269">
        <f>=IFERROR(VLOOKUP(VALUE(LEFT(P269,3)),料號對照!$A:$B,2,0),IFERROR(VLOOKUP(VALUE(LEFT(P269,1)),料號對照!$A:$B,2,0),""))</f>
      </c>
      <c r="T269">
        <f>=IFERROR(VLOOKUP(VALUE(LEFT(S269,3)),料號對照!$A:$B,2,0),IFERROR(VLOOKUP(VALUE(LEFT(S269,1)),料號對照!$A:$B,2,0),""))</f>
      </c>
    </row>
    <row r="270">
      <c r="N270">
        <f>=IFERROR(VLOOKUP(VALUE(LEFT(M270,3)),料號對照!$A:$B,2,0),IFERROR(VLOOKUP(VALUE(LEFT(M270,1)),料號對照!$A:$B,2,0),""))</f>
      </c>
      <c r="Q270">
        <f>=IFERROR(VLOOKUP(VALUE(LEFT(P270,3)),料號對照!$A:$B,2,0),IFERROR(VLOOKUP(VALUE(LEFT(P270,1)),料號對照!$A:$B,2,0),""))</f>
      </c>
      <c r="T270">
        <f>=IFERROR(VLOOKUP(VALUE(LEFT(S270,3)),料號對照!$A:$B,2,0),IFERROR(VLOOKUP(VALUE(LEFT(S270,1)),料號對照!$A:$B,2,0),""))</f>
      </c>
    </row>
    <row r="271">
      <c r="N271">
        <f>=IFERROR(VLOOKUP(VALUE(LEFT(M271,3)),料號對照!$A:$B,2,0),IFERROR(VLOOKUP(VALUE(LEFT(M271,1)),料號對照!$A:$B,2,0),""))</f>
      </c>
      <c r="Q271">
        <f>=IFERROR(VLOOKUP(VALUE(LEFT(P271,3)),料號對照!$A:$B,2,0),IFERROR(VLOOKUP(VALUE(LEFT(P271,1)),料號對照!$A:$B,2,0),""))</f>
      </c>
      <c r="T271">
        <f>=IFERROR(VLOOKUP(VALUE(LEFT(S271,3)),料號對照!$A:$B,2,0),IFERROR(VLOOKUP(VALUE(LEFT(S271,1)),料號對照!$A:$B,2,0),""))</f>
      </c>
    </row>
    <row r="272">
      <c r="N272">
        <f>=IFERROR(VLOOKUP(VALUE(LEFT(M272,3)),料號對照!$A:$B,2,0),IFERROR(VLOOKUP(VALUE(LEFT(M272,1)),料號對照!$A:$B,2,0),""))</f>
      </c>
      <c r="Q272">
        <f>=IFERROR(VLOOKUP(VALUE(LEFT(P272,3)),料號對照!$A:$B,2,0),IFERROR(VLOOKUP(VALUE(LEFT(P272,1)),料號對照!$A:$B,2,0),""))</f>
      </c>
      <c r="T272">
        <f>=IFERROR(VLOOKUP(VALUE(LEFT(S272,3)),料號對照!$A:$B,2,0),IFERROR(VLOOKUP(VALUE(LEFT(S272,1)),料號對照!$A:$B,2,0),""))</f>
      </c>
    </row>
    <row r="273">
      <c r="N273">
        <f>=IFERROR(VLOOKUP(VALUE(LEFT(M273,3)),料號對照!$A:$B,2,0),IFERROR(VLOOKUP(VALUE(LEFT(M273,1)),料號對照!$A:$B,2,0),""))</f>
      </c>
      <c r="Q273">
        <f>=IFERROR(VLOOKUP(VALUE(LEFT(P273,3)),料號對照!$A:$B,2,0),IFERROR(VLOOKUP(VALUE(LEFT(P273,1)),料號對照!$A:$B,2,0),""))</f>
      </c>
      <c r="T273">
        <f>=IFERROR(VLOOKUP(VALUE(LEFT(S273,3)),料號對照!$A:$B,2,0),IFERROR(VLOOKUP(VALUE(LEFT(S273,1)),料號對照!$A:$B,2,0),""))</f>
      </c>
    </row>
    <row r="274">
      <c r="N274">
        <f>=IFERROR(VLOOKUP(VALUE(LEFT(M274,3)),料號對照!$A:$B,2,0),IFERROR(VLOOKUP(VALUE(LEFT(M274,1)),料號對照!$A:$B,2,0),""))</f>
      </c>
      <c r="Q274">
        <f>=IFERROR(VLOOKUP(VALUE(LEFT(P274,3)),料號對照!$A:$B,2,0),IFERROR(VLOOKUP(VALUE(LEFT(P274,1)),料號對照!$A:$B,2,0),""))</f>
      </c>
      <c r="T274">
        <f>=IFERROR(VLOOKUP(VALUE(LEFT(S274,3)),料號對照!$A:$B,2,0),IFERROR(VLOOKUP(VALUE(LEFT(S274,1)),料號對照!$A:$B,2,0),""))</f>
      </c>
    </row>
    <row r="275">
      <c r="N275">
        <f>=IFERROR(VLOOKUP(VALUE(LEFT(M275,3)),料號對照!$A:$B,2,0),IFERROR(VLOOKUP(VALUE(LEFT(M275,1)),料號對照!$A:$B,2,0),""))</f>
      </c>
      <c r="Q275">
        <f>=IFERROR(VLOOKUP(VALUE(LEFT(P275,3)),料號對照!$A:$B,2,0),IFERROR(VLOOKUP(VALUE(LEFT(P275,1)),料號對照!$A:$B,2,0),""))</f>
      </c>
      <c r="T275">
        <f>=IFERROR(VLOOKUP(VALUE(LEFT(S275,3)),料號對照!$A:$B,2,0),IFERROR(VLOOKUP(VALUE(LEFT(S275,1)),料號對照!$A:$B,2,0),""))</f>
      </c>
    </row>
    <row r="276">
      <c r="N276">
        <f>=IFERROR(VLOOKUP(VALUE(LEFT(M276,3)),料號對照!$A:$B,2,0),IFERROR(VLOOKUP(VALUE(LEFT(M276,1)),料號對照!$A:$B,2,0),""))</f>
      </c>
      <c r="Q276">
        <f>=IFERROR(VLOOKUP(VALUE(LEFT(P276,3)),料號對照!$A:$B,2,0),IFERROR(VLOOKUP(VALUE(LEFT(P276,1)),料號對照!$A:$B,2,0),""))</f>
      </c>
      <c r="T276">
        <f>=IFERROR(VLOOKUP(VALUE(LEFT(S276,3)),料號對照!$A:$B,2,0),IFERROR(VLOOKUP(VALUE(LEFT(S276,1)),料號對照!$A:$B,2,0),""))</f>
      </c>
    </row>
    <row r="277">
      <c r="N277">
        <f>=IFERROR(VLOOKUP(VALUE(LEFT(M277,3)),料號對照!$A:$B,2,0),IFERROR(VLOOKUP(VALUE(LEFT(M277,1)),料號對照!$A:$B,2,0),""))</f>
      </c>
      <c r="Q277">
        <f>=IFERROR(VLOOKUP(VALUE(LEFT(P277,3)),料號對照!$A:$B,2,0),IFERROR(VLOOKUP(VALUE(LEFT(P277,1)),料號對照!$A:$B,2,0),""))</f>
      </c>
      <c r="T277">
        <f>=IFERROR(VLOOKUP(VALUE(LEFT(S277,3)),料號對照!$A:$B,2,0),IFERROR(VLOOKUP(VALUE(LEFT(S277,1)),料號對照!$A:$B,2,0),""))</f>
      </c>
    </row>
    <row r="278">
      <c r="N278">
        <f>=IFERROR(VLOOKUP(VALUE(LEFT(M278,3)),料號對照!$A:$B,2,0),IFERROR(VLOOKUP(VALUE(LEFT(M278,1)),料號對照!$A:$B,2,0),""))</f>
      </c>
      <c r="Q278">
        <f>=IFERROR(VLOOKUP(VALUE(LEFT(P278,3)),料號對照!$A:$B,2,0),IFERROR(VLOOKUP(VALUE(LEFT(P278,1)),料號對照!$A:$B,2,0),""))</f>
      </c>
      <c r="T278">
        <f>=IFERROR(VLOOKUP(VALUE(LEFT(S278,3)),料號對照!$A:$B,2,0),IFERROR(VLOOKUP(VALUE(LEFT(S278,1)),料號對照!$A:$B,2,0),""))</f>
      </c>
    </row>
    <row r="279">
      <c r="N279">
        <f>=IFERROR(VLOOKUP(VALUE(LEFT(M279,3)),料號對照!$A:$B,2,0),IFERROR(VLOOKUP(VALUE(LEFT(M279,1)),料號對照!$A:$B,2,0),""))</f>
      </c>
      <c r="Q279">
        <f>=IFERROR(VLOOKUP(VALUE(LEFT(P279,3)),料號對照!$A:$B,2,0),IFERROR(VLOOKUP(VALUE(LEFT(P279,1)),料號對照!$A:$B,2,0),""))</f>
      </c>
      <c r="T279">
        <f>=IFERROR(VLOOKUP(VALUE(LEFT(S279,3)),料號對照!$A:$B,2,0),IFERROR(VLOOKUP(VALUE(LEFT(S279,1)),料號對照!$A:$B,2,0),""))</f>
      </c>
    </row>
    <row r="280">
      <c r="N280">
        <f>=IFERROR(VLOOKUP(VALUE(LEFT(M280,3)),料號對照!$A:$B,2,0),IFERROR(VLOOKUP(VALUE(LEFT(M280,1)),料號對照!$A:$B,2,0),""))</f>
      </c>
      <c r="Q280">
        <f>=IFERROR(VLOOKUP(VALUE(LEFT(P280,3)),料號對照!$A:$B,2,0),IFERROR(VLOOKUP(VALUE(LEFT(P280,1)),料號對照!$A:$B,2,0),""))</f>
      </c>
      <c r="T280">
        <f>=IFERROR(VLOOKUP(VALUE(LEFT(S280,3)),料號對照!$A:$B,2,0),IFERROR(VLOOKUP(VALUE(LEFT(S280,1)),料號對照!$A:$B,2,0),""))</f>
      </c>
    </row>
    <row r="281">
      <c r="N281">
        <f>=IFERROR(VLOOKUP(VALUE(LEFT(M281,3)),料號對照!$A:$B,2,0),IFERROR(VLOOKUP(VALUE(LEFT(M281,1)),料號對照!$A:$B,2,0),""))</f>
      </c>
      <c r="Q281">
        <f>=IFERROR(VLOOKUP(VALUE(LEFT(P281,3)),料號對照!$A:$B,2,0),IFERROR(VLOOKUP(VALUE(LEFT(P281,1)),料號對照!$A:$B,2,0),""))</f>
      </c>
      <c r="T281">
        <f>=IFERROR(VLOOKUP(VALUE(LEFT(S281,3)),料號對照!$A:$B,2,0),IFERROR(VLOOKUP(VALUE(LEFT(S281,1)),料號對照!$A:$B,2,0),""))</f>
      </c>
    </row>
    <row r="282">
      <c r="N282">
        <f>=IFERROR(VLOOKUP(VALUE(LEFT(M282,3)),料號對照!$A:$B,2,0),IFERROR(VLOOKUP(VALUE(LEFT(M282,1)),料號對照!$A:$B,2,0),""))</f>
      </c>
      <c r="Q282">
        <f>=IFERROR(VLOOKUP(VALUE(LEFT(P282,3)),料號對照!$A:$B,2,0),IFERROR(VLOOKUP(VALUE(LEFT(P282,1)),料號對照!$A:$B,2,0),""))</f>
      </c>
      <c r="T282">
        <f>=IFERROR(VLOOKUP(VALUE(LEFT(S282,3)),料號對照!$A:$B,2,0),IFERROR(VLOOKUP(VALUE(LEFT(S282,1)),料號對照!$A:$B,2,0),""))</f>
      </c>
    </row>
    <row r="283">
      <c r="N283">
        <f>=IFERROR(VLOOKUP(VALUE(LEFT(M283,3)),料號對照!$A:$B,2,0),IFERROR(VLOOKUP(VALUE(LEFT(M283,1)),料號對照!$A:$B,2,0),""))</f>
      </c>
      <c r="Q283">
        <f>=IFERROR(VLOOKUP(VALUE(LEFT(P283,3)),料號對照!$A:$B,2,0),IFERROR(VLOOKUP(VALUE(LEFT(P283,1)),料號對照!$A:$B,2,0),""))</f>
      </c>
      <c r="T283">
        <f>=IFERROR(VLOOKUP(VALUE(LEFT(S283,3)),料號對照!$A:$B,2,0),IFERROR(VLOOKUP(VALUE(LEFT(S283,1)),料號對照!$A:$B,2,0),""))</f>
      </c>
    </row>
    <row r="284">
      <c r="N284">
        <f>=IFERROR(VLOOKUP(VALUE(LEFT(M284,3)),料號對照!$A:$B,2,0),IFERROR(VLOOKUP(VALUE(LEFT(M284,1)),料號對照!$A:$B,2,0),""))</f>
      </c>
      <c r="Q284">
        <f>=IFERROR(VLOOKUP(VALUE(LEFT(P284,3)),料號對照!$A:$B,2,0),IFERROR(VLOOKUP(VALUE(LEFT(P284,1)),料號對照!$A:$B,2,0),""))</f>
      </c>
      <c r="T284">
        <f>=IFERROR(VLOOKUP(VALUE(LEFT(S284,3)),料號對照!$A:$B,2,0),IFERROR(VLOOKUP(VALUE(LEFT(S284,1)),料號對照!$A:$B,2,0),""))</f>
      </c>
    </row>
    <row r="285">
      <c r="N285">
        <f>=IFERROR(VLOOKUP(VALUE(LEFT(M285,3)),料號對照!$A:$B,2,0),IFERROR(VLOOKUP(VALUE(LEFT(M285,1)),料號對照!$A:$B,2,0),""))</f>
      </c>
      <c r="Q285">
        <f>=IFERROR(VLOOKUP(VALUE(LEFT(P285,3)),料號對照!$A:$B,2,0),IFERROR(VLOOKUP(VALUE(LEFT(P285,1)),料號對照!$A:$B,2,0),""))</f>
      </c>
      <c r="T285">
        <f>=IFERROR(VLOOKUP(VALUE(LEFT(S285,3)),料號對照!$A:$B,2,0),IFERROR(VLOOKUP(VALUE(LEFT(S285,1)),料號對照!$A:$B,2,0),""))</f>
      </c>
    </row>
    <row r="286">
      <c r="N286">
        <f>=IFERROR(VLOOKUP(VALUE(LEFT(M286,3)),料號對照!$A:$B,2,0),IFERROR(VLOOKUP(VALUE(LEFT(M286,1)),料號對照!$A:$B,2,0),""))</f>
      </c>
      <c r="Q286">
        <f>=IFERROR(VLOOKUP(VALUE(LEFT(P286,3)),料號對照!$A:$B,2,0),IFERROR(VLOOKUP(VALUE(LEFT(P286,1)),料號對照!$A:$B,2,0),""))</f>
      </c>
      <c r="T286">
        <f>=IFERROR(VLOOKUP(VALUE(LEFT(S286,3)),料號對照!$A:$B,2,0),IFERROR(VLOOKUP(VALUE(LEFT(S286,1)),料號對照!$A:$B,2,0),""))</f>
      </c>
    </row>
    <row r="287">
      <c r="N287">
        <f>=IFERROR(VLOOKUP(VALUE(LEFT(M287,3)),料號對照!$A:$B,2,0),IFERROR(VLOOKUP(VALUE(LEFT(M287,1)),料號對照!$A:$B,2,0),""))</f>
      </c>
      <c r="Q287">
        <f>=IFERROR(VLOOKUP(VALUE(LEFT(P287,3)),料號對照!$A:$B,2,0),IFERROR(VLOOKUP(VALUE(LEFT(P287,1)),料號對照!$A:$B,2,0),""))</f>
      </c>
      <c r="T287">
        <f>=IFERROR(VLOOKUP(VALUE(LEFT(S287,3)),料號對照!$A:$B,2,0),IFERROR(VLOOKUP(VALUE(LEFT(S287,1)),料號對照!$A:$B,2,0),""))</f>
      </c>
    </row>
    <row r="288">
      <c r="N288">
        <f>=IFERROR(VLOOKUP(VALUE(LEFT(M288,3)),料號對照!$A:$B,2,0),IFERROR(VLOOKUP(VALUE(LEFT(M288,1)),料號對照!$A:$B,2,0),""))</f>
      </c>
      <c r="Q288">
        <f>=IFERROR(VLOOKUP(VALUE(LEFT(P288,3)),料號對照!$A:$B,2,0),IFERROR(VLOOKUP(VALUE(LEFT(P288,1)),料號對照!$A:$B,2,0),""))</f>
      </c>
      <c r="T288">
        <f>=IFERROR(VLOOKUP(VALUE(LEFT(S288,3)),料號對照!$A:$B,2,0),IFERROR(VLOOKUP(VALUE(LEFT(S288,1)),料號對照!$A:$B,2,0),""))</f>
      </c>
    </row>
    <row r="289">
      <c r="N289">
        <f>=IFERROR(VLOOKUP(VALUE(LEFT(M289,3)),料號對照!$A:$B,2,0),IFERROR(VLOOKUP(VALUE(LEFT(M289,1)),料號對照!$A:$B,2,0),""))</f>
      </c>
      <c r="Q289">
        <f>=IFERROR(VLOOKUP(VALUE(LEFT(P289,3)),料號對照!$A:$B,2,0),IFERROR(VLOOKUP(VALUE(LEFT(P289,1)),料號對照!$A:$B,2,0),""))</f>
      </c>
      <c r="T289">
        <f>=IFERROR(VLOOKUP(VALUE(LEFT(S289,3)),料號對照!$A:$B,2,0),IFERROR(VLOOKUP(VALUE(LEFT(S289,1)),料號對照!$A:$B,2,0),""))</f>
      </c>
    </row>
    <row r="290">
      <c r="N290">
        <f>=IFERROR(VLOOKUP(VALUE(LEFT(M290,3)),料號對照!$A:$B,2,0),IFERROR(VLOOKUP(VALUE(LEFT(M290,1)),料號對照!$A:$B,2,0),""))</f>
      </c>
      <c r="Q290">
        <f>=IFERROR(VLOOKUP(VALUE(LEFT(P290,3)),料號對照!$A:$B,2,0),IFERROR(VLOOKUP(VALUE(LEFT(P290,1)),料號對照!$A:$B,2,0),""))</f>
      </c>
      <c r="T290">
        <f>=IFERROR(VLOOKUP(VALUE(LEFT(S290,3)),料號對照!$A:$B,2,0),IFERROR(VLOOKUP(VALUE(LEFT(S290,1)),料號對照!$A:$B,2,0),""))</f>
      </c>
    </row>
    <row r="291">
      <c r="N291">
        <f>=IFERROR(VLOOKUP(VALUE(LEFT(M291,3)),料號對照!$A:$B,2,0),IFERROR(VLOOKUP(VALUE(LEFT(M291,1)),料號對照!$A:$B,2,0),""))</f>
      </c>
      <c r="Q291">
        <f>=IFERROR(VLOOKUP(VALUE(LEFT(P291,3)),料號對照!$A:$B,2,0),IFERROR(VLOOKUP(VALUE(LEFT(P291,1)),料號對照!$A:$B,2,0),""))</f>
      </c>
      <c r="T291">
        <f>=IFERROR(VLOOKUP(VALUE(LEFT(S291,3)),料號對照!$A:$B,2,0),IFERROR(VLOOKUP(VALUE(LEFT(S291,1)),料號對照!$A:$B,2,0),""))</f>
      </c>
    </row>
    <row r="292">
      <c r="N292">
        <f>=IFERROR(VLOOKUP(VALUE(LEFT(M292,3)),料號對照!$A:$B,2,0),IFERROR(VLOOKUP(VALUE(LEFT(M292,1)),料號對照!$A:$B,2,0),""))</f>
      </c>
      <c r="Q292">
        <f>=IFERROR(VLOOKUP(VALUE(LEFT(P292,3)),料號對照!$A:$B,2,0),IFERROR(VLOOKUP(VALUE(LEFT(P292,1)),料號對照!$A:$B,2,0),""))</f>
      </c>
      <c r="T292">
        <f>=IFERROR(VLOOKUP(VALUE(LEFT(S292,3)),料號對照!$A:$B,2,0),IFERROR(VLOOKUP(VALUE(LEFT(S292,1)),料號對照!$A:$B,2,0),""))</f>
      </c>
    </row>
    <row r="293">
      <c r="N293">
        <f>=IFERROR(VLOOKUP(VALUE(LEFT(M293,3)),料號對照!$A:$B,2,0),IFERROR(VLOOKUP(VALUE(LEFT(M293,1)),料號對照!$A:$B,2,0),""))</f>
      </c>
      <c r="Q293">
        <f>=IFERROR(VLOOKUP(VALUE(LEFT(P293,3)),料號對照!$A:$B,2,0),IFERROR(VLOOKUP(VALUE(LEFT(P293,1)),料號對照!$A:$B,2,0),""))</f>
      </c>
      <c r="T293">
        <f>=IFERROR(VLOOKUP(VALUE(LEFT(S293,3)),料號對照!$A:$B,2,0),IFERROR(VLOOKUP(VALUE(LEFT(S293,1)),料號對照!$A:$B,2,0),""))</f>
      </c>
    </row>
    <row r="294">
      <c r="N294">
        <f>=IFERROR(VLOOKUP(VALUE(LEFT(M294,3)),料號對照!$A:$B,2,0),IFERROR(VLOOKUP(VALUE(LEFT(M294,1)),料號對照!$A:$B,2,0),""))</f>
      </c>
      <c r="Q294">
        <f>=IFERROR(VLOOKUP(VALUE(LEFT(P294,3)),料號對照!$A:$B,2,0),IFERROR(VLOOKUP(VALUE(LEFT(P294,1)),料號對照!$A:$B,2,0),""))</f>
      </c>
      <c r="T294">
        <f>=IFERROR(VLOOKUP(VALUE(LEFT(S294,3)),料號對照!$A:$B,2,0),IFERROR(VLOOKUP(VALUE(LEFT(S294,1)),料號對照!$A:$B,2,0),""))</f>
      </c>
    </row>
    <row r="295">
      <c r="N295">
        <f>=IFERROR(VLOOKUP(VALUE(LEFT(M295,3)),料號對照!$A:$B,2,0),IFERROR(VLOOKUP(VALUE(LEFT(M295,1)),料號對照!$A:$B,2,0),""))</f>
      </c>
      <c r="Q295">
        <f>=IFERROR(VLOOKUP(VALUE(LEFT(P295,3)),料號對照!$A:$B,2,0),IFERROR(VLOOKUP(VALUE(LEFT(P295,1)),料號對照!$A:$B,2,0),""))</f>
      </c>
      <c r="T295">
        <f>=IFERROR(VLOOKUP(VALUE(LEFT(S295,3)),料號對照!$A:$B,2,0),IFERROR(VLOOKUP(VALUE(LEFT(S295,1)),料號對照!$A:$B,2,0),""))</f>
      </c>
    </row>
    <row r="296">
      <c r="N296">
        <f>=IFERROR(VLOOKUP(VALUE(LEFT(M296,3)),料號對照!$A:$B,2,0),IFERROR(VLOOKUP(VALUE(LEFT(M296,1)),料號對照!$A:$B,2,0),""))</f>
      </c>
      <c r="Q296">
        <f>=IFERROR(VLOOKUP(VALUE(LEFT(P296,3)),料號對照!$A:$B,2,0),IFERROR(VLOOKUP(VALUE(LEFT(P296,1)),料號對照!$A:$B,2,0),""))</f>
      </c>
      <c r="T296">
        <f>=IFERROR(VLOOKUP(VALUE(LEFT(S296,3)),料號對照!$A:$B,2,0),IFERROR(VLOOKUP(VALUE(LEFT(S296,1)),料號對照!$A:$B,2,0),""))</f>
      </c>
    </row>
    <row r="297">
      <c r="N297">
        <f>=IFERROR(VLOOKUP(VALUE(LEFT(M297,3)),料號對照!$A:$B,2,0),IFERROR(VLOOKUP(VALUE(LEFT(M297,1)),料號對照!$A:$B,2,0),""))</f>
      </c>
      <c r="Q297">
        <f>=IFERROR(VLOOKUP(VALUE(LEFT(P297,3)),料號對照!$A:$B,2,0),IFERROR(VLOOKUP(VALUE(LEFT(P297,1)),料號對照!$A:$B,2,0),""))</f>
      </c>
      <c r="T297">
        <f>=IFERROR(VLOOKUP(VALUE(LEFT(S297,3)),料號對照!$A:$B,2,0),IFERROR(VLOOKUP(VALUE(LEFT(S297,1)),料號對照!$A:$B,2,0),""))</f>
      </c>
    </row>
    <row r="298">
      <c r="N298">
        <f>=IFERROR(VLOOKUP(VALUE(LEFT(M298,3)),料號對照!$A:$B,2,0),IFERROR(VLOOKUP(VALUE(LEFT(M298,1)),料號對照!$A:$B,2,0),""))</f>
      </c>
      <c r="Q298">
        <f>=IFERROR(VLOOKUP(VALUE(LEFT(P298,3)),料號對照!$A:$B,2,0),IFERROR(VLOOKUP(VALUE(LEFT(P298,1)),料號對照!$A:$B,2,0),""))</f>
      </c>
      <c r="T298">
        <f>=IFERROR(VLOOKUP(VALUE(LEFT(S298,3)),料號對照!$A:$B,2,0),IFERROR(VLOOKUP(VALUE(LEFT(S298,1)),料號對照!$A:$B,2,0),""))</f>
      </c>
    </row>
    <row r="299">
      <c r="N299">
        <f>=IFERROR(VLOOKUP(VALUE(LEFT(M299,3)),料號對照!$A:$B,2,0),IFERROR(VLOOKUP(VALUE(LEFT(M299,1)),料號對照!$A:$B,2,0),""))</f>
      </c>
      <c r="Q299">
        <f>=IFERROR(VLOOKUP(VALUE(LEFT(P299,3)),料號對照!$A:$B,2,0),IFERROR(VLOOKUP(VALUE(LEFT(P299,1)),料號對照!$A:$B,2,0),""))</f>
      </c>
      <c r="T299">
        <f>=IFERROR(VLOOKUP(VALUE(LEFT(S299,3)),料號對照!$A:$B,2,0),IFERROR(VLOOKUP(VALUE(LEFT(S299,1)),料號對照!$A:$B,2,0),""))</f>
      </c>
    </row>
    <row r="300">
      <c r="N300">
        <f>=IFERROR(VLOOKUP(VALUE(LEFT(M300,3)),料號對照!$A:$B,2,0),IFERROR(VLOOKUP(VALUE(LEFT(M300,1)),料號對照!$A:$B,2,0),""))</f>
      </c>
      <c r="Q300">
        <f>=IFERROR(VLOOKUP(VALUE(LEFT(P300,3)),料號對照!$A:$B,2,0),IFERROR(VLOOKUP(VALUE(LEFT(P300,1)),料號對照!$A:$B,2,0),""))</f>
      </c>
      <c r="T300">
        <f>=IFERROR(VLOOKUP(VALUE(LEFT(S300,3)),料號對照!$A:$B,2,0),IFERROR(VLOOKUP(VALUE(LEFT(S300,1)),料號對照!$A:$B,2,0),""))</f>
      </c>
    </row>
    <row r="301">
      <c r="N301">
        <f>=IFERROR(VLOOKUP(VALUE(LEFT(M301,3)),料號對照!$A:$B,2,0),IFERROR(VLOOKUP(VALUE(LEFT(M301,1)),料號對照!$A:$B,2,0),""))</f>
      </c>
      <c r="Q301">
        <f>=IFERROR(VLOOKUP(VALUE(LEFT(P301,3)),料號對照!$A:$B,2,0),IFERROR(VLOOKUP(VALUE(LEFT(P301,1)),料號對照!$A:$B,2,0),""))</f>
      </c>
      <c r="T301">
        <f>=IFERROR(VLOOKUP(VALUE(LEFT(S301,3)),料號對照!$A:$B,2,0),IFERROR(VLOOKUP(VALUE(LEFT(S301,1)),料號對照!$A:$B,2,0),""))</f>
      </c>
    </row>
    <row r="302">
      <c r="N302">
        <f>=IFERROR(VLOOKUP(VALUE(LEFT(M302,3)),料號對照!$A:$B,2,0),IFERROR(VLOOKUP(VALUE(LEFT(M302,1)),料號對照!$A:$B,2,0),""))</f>
      </c>
      <c r="Q302">
        <f>=IFERROR(VLOOKUP(VALUE(LEFT(P302,3)),料號對照!$A:$B,2,0),IFERROR(VLOOKUP(VALUE(LEFT(P302,1)),料號對照!$A:$B,2,0),""))</f>
      </c>
      <c r="T302">
        <f>=IFERROR(VLOOKUP(VALUE(LEFT(S302,3)),料號對照!$A:$B,2,0),IFERROR(VLOOKUP(VALUE(LEFT(S302,1)),料號對照!$A:$B,2,0),""))</f>
      </c>
    </row>
    <row r="303">
      <c r="N303">
        <f>=IFERROR(VLOOKUP(VALUE(LEFT(M303,3)),料號對照!$A:$B,2,0),IFERROR(VLOOKUP(VALUE(LEFT(M303,1)),料號對照!$A:$B,2,0),""))</f>
      </c>
      <c r="Q303">
        <f>=IFERROR(VLOOKUP(VALUE(LEFT(P303,3)),料號對照!$A:$B,2,0),IFERROR(VLOOKUP(VALUE(LEFT(P303,1)),料號對照!$A:$B,2,0),""))</f>
      </c>
      <c r="T303">
        <f>=IFERROR(VLOOKUP(VALUE(LEFT(S303,3)),料號對照!$A:$B,2,0),IFERROR(VLOOKUP(VALUE(LEFT(S303,1)),料號對照!$A:$B,2,0),""))</f>
      </c>
    </row>
    <row r="304">
      <c r="N304">
        <f>=IFERROR(VLOOKUP(VALUE(LEFT(M304,3)),料號對照!$A:$B,2,0),IFERROR(VLOOKUP(VALUE(LEFT(M304,1)),料號對照!$A:$B,2,0),""))</f>
      </c>
      <c r="Q304">
        <f>=IFERROR(VLOOKUP(VALUE(LEFT(P304,3)),料號對照!$A:$B,2,0),IFERROR(VLOOKUP(VALUE(LEFT(P304,1)),料號對照!$A:$B,2,0),""))</f>
      </c>
      <c r="T304">
        <f>=IFERROR(VLOOKUP(VALUE(LEFT(S304,3)),料號對照!$A:$B,2,0),IFERROR(VLOOKUP(VALUE(LEFT(S304,1)),料號對照!$A:$B,2,0),""))</f>
      </c>
    </row>
    <row r="305">
      <c r="N305">
        <f>=IFERROR(VLOOKUP(VALUE(LEFT(M305,3)),料號對照!$A:$B,2,0),IFERROR(VLOOKUP(VALUE(LEFT(M305,1)),料號對照!$A:$B,2,0),""))</f>
      </c>
      <c r="Q305">
        <f>=IFERROR(VLOOKUP(VALUE(LEFT(P305,3)),料號對照!$A:$B,2,0),IFERROR(VLOOKUP(VALUE(LEFT(P305,1)),料號對照!$A:$B,2,0),""))</f>
      </c>
      <c r="T305">
        <f>=IFERROR(VLOOKUP(VALUE(LEFT(S305,3)),料號對照!$A:$B,2,0),IFERROR(VLOOKUP(VALUE(LEFT(S305,1)),料號對照!$A:$B,2,0),""))</f>
      </c>
    </row>
    <row r="306">
      <c r="N306">
        <f>=IFERROR(VLOOKUP(VALUE(LEFT(M306,3)),料號對照!$A:$B,2,0),IFERROR(VLOOKUP(VALUE(LEFT(M306,1)),料號對照!$A:$B,2,0),""))</f>
      </c>
      <c r="Q306">
        <f>=IFERROR(VLOOKUP(VALUE(LEFT(P306,3)),料號對照!$A:$B,2,0),IFERROR(VLOOKUP(VALUE(LEFT(P306,1)),料號對照!$A:$B,2,0),""))</f>
      </c>
      <c r="T306">
        <f>=IFERROR(VLOOKUP(VALUE(LEFT(S306,3)),料號對照!$A:$B,2,0),IFERROR(VLOOKUP(VALUE(LEFT(S306,1)),料號對照!$A:$B,2,0),""))</f>
      </c>
    </row>
    <row r="307">
      <c r="N307">
        <f>=IFERROR(VLOOKUP(VALUE(LEFT(M307,3)),料號對照!$A:$B,2,0),IFERROR(VLOOKUP(VALUE(LEFT(M307,1)),料號對照!$A:$B,2,0),""))</f>
      </c>
      <c r="Q307">
        <f>=IFERROR(VLOOKUP(VALUE(LEFT(P307,3)),料號對照!$A:$B,2,0),IFERROR(VLOOKUP(VALUE(LEFT(P307,1)),料號對照!$A:$B,2,0),""))</f>
      </c>
      <c r="T307">
        <f>=IFERROR(VLOOKUP(VALUE(LEFT(S307,3)),料號對照!$A:$B,2,0),IFERROR(VLOOKUP(VALUE(LEFT(S307,1)),料號對照!$A:$B,2,0),""))</f>
      </c>
    </row>
    <row r="308">
      <c r="N308">
        <f>=IFERROR(VLOOKUP(VALUE(LEFT(M308,3)),料號對照!$A:$B,2,0),IFERROR(VLOOKUP(VALUE(LEFT(M308,1)),料號對照!$A:$B,2,0),""))</f>
      </c>
      <c r="Q308">
        <f>=IFERROR(VLOOKUP(VALUE(LEFT(P308,3)),料號對照!$A:$B,2,0),IFERROR(VLOOKUP(VALUE(LEFT(P308,1)),料號對照!$A:$B,2,0),""))</f>
      </c>
      <c r="T308">
        <f>=IFERROR(VLOOKUP(VALUE(LEFT(S308,3)),料號對照!$A:$B,2,0),IFERROR(VLOOKUP(VALUE(LEFT(S308,1)),料號對照!$A:$B,2,0),""))</f>
      </c>
    </row>
    <row r="309">
      <c r="N309">
        <f>=IFERROR(VLOOKUP(VALUE(LEFT(M309,3)),料號對照!$A:$B,2,0),IFERROR(VLOOKUP(VALUE(LEFT(M309,1)),料號對照!$A:$B,2,0),""))</f>
      </c>
      <c r="Q309">
        <f>=IFERROR(VLOOKUP(VALUE(LEFT(P309,3)),料號對照!$A:$B,2,0),IFERROR(VLOOKUP(VALUE(LEFT(P309,1)),料號對照!$A:$B,2,0),""))</f>
      </c>
      <c r="T309">
        <f>=IFERROR(VLOOKUP(VALUE(LEFT(S309,3)),料號對照!$A:$B,2,0),IFERROR(VLOOKUP(VALUE(LEFT(S309,1)),料號對照!$A:$B,2,0),""))</f>
      </c>
    </row>
    <row r="310">
      <c r="N310">
        <f>=IFERROR(VLOOKUP(VALUE(LEFT(M310,3)),料號對照!$A:$B,2,0),IFERROR(VLOOKUP(VALUE(LEFT(M310,1)),料號對照!$A:$B,2,0),""))</f>
      </c>
      <c r="Q310">
        <f>=IFERROR(VLOOKUP(VALUE(LEFT(P310,3)),料號對照!$A:$B,2,0),IFERROR(VLOOKUP(VALUE(LEFT(P310,1)),料號對照!$A:$B,2,0),""))</f>
      </c>
      <c r="T310">
        <f>=IFERROR(VLOOKUP(VALUE(LEFT(S310,3)),料號對照!$A:$B,2,0),IFERROR(VLOOKUP(VALUE(LEFT(S310,1)),料號對照!$A:$B,2,0),""))</f>
      </c>
    </row>
    <row r="311">
      <c r="N311">
        <f>=IFERROR(VLOOKUP(VALUE(LEFT(M311,3)),料號對照!$A:$B,2,0),IFERROR(VLOOKUP(VALUE(LEFT(M311,1)),料號對照!$A:$B,2,0),""))</f>
      </c>
      <c r="Q311">
        <f>=IFERROR(VLOOKUP(VALUE(LEFT(P311,3)),料號對照!$A:$B,2,0),IFERROR(VLOOKUP(VALUE(LEFT(P311,1)),料號對照!$A:$B,2,0),""))</f>
      </c>
      <c r="T311">
        <f>=IFERROR(VLOOKUP(VALUE(LEFT(S311,3)),料號對照!$A:$B,2,0),IFERROR(VLOOKUP(VALUE(LEFT(S311,1)),料號對照!$A:$B,2,0),""))</f>
      </c>
    </row>
    <row r="312">
      <c r="N312">
        <f>=IFERROR(VLOOKUP(VALUE(LEFT(M312,3)),料號對照!$A:$B,2,0),IFERROR(VLOOKUP(VALUE(LEFT(M312,1)),料號對照!$A:$B,2,0),""))</f>
      </c>
      <c r="Q312">
        <f>=IFERROR(VLOOKUP(VALUE(LEFT(P312,3)),料號對照!$A:$B,2,0),IFERROR(VLOOKUP(VALUE(LEFT(P312,1)),料號對照!$A:$B,2,0),""))</f>
      </c>
      <c r="T312">
        <f>=IFERROR(VLOOKUP(VALUE(LEFT(S312,3)),料號對照!$A:$B,2,0),IFERROR(VLOOKUP(VALUE(LEFT(S312,1)),料號對照!$A:$B,2,0),""))</f>
      </c>
    </row>
    <row r="313">
      <c r="N313">
        <f>=IFERROR(VLOOKUP(VALUE(LEFT(M313,3)),料號對照!$A:$B,2,0),IFERROR(VLOOKUP(VALUE(LEFT(M313,1)),料號對照!$A:$B,2,0),""))</f>
      </c>
      <c r="Q313">
        <f>=IFERROR(VLOOKUP(VALUE(LEFT(P313,3)),料號對照!$A:$B,2,0),IFERROR(VLOOKUP(VALUE(LEFT(P313,1)),料號對照!$A:$B,2,0),""))</f>
      </c>
      <c r="T313">
        <f>=IFERROR(VLOOKUP(VALUE(LEFT(S313,3)),料號對照!$A:$B,2,0),IFERROR(VLOOKUP(VALUE(LEFT(S313,1)),料號對照!$A:$B,2,0),""))</f>
      </c>
    </row>
    <row r="314">
      <c r="N314">
        <f>=IFERROR(VLOOKUP(VALUE(LEFT(M314,3)),料號對照!$A:$B,2,0),IFERROR(VLOOKUP(VALUE(LEFT(M314,1)),料號對照!$A:$B,2,0),""))</f>
      </c>
      <c r="Q314">
        <f>=IFERROR(VLOOKUP(VALUE(LEFT(P314,3)),料號對照!$A:$B,2,0),IFERROR(VLOOKUP(VALUE(LEFT(P314,1)),料號對照!$A:$B,2,0),""))</f>
      </c>
      <c r="T314">
        <f>=IFERROR(VLOOKUP(VALUE(LEFT(S314,3)),料號對照!$A:$B,2,0),IFERROR(VLOOKUP(VALUE(LEFT(S314,1)),料號對照!$A:$B,2,0),""))</f>
      </c>
    </row>
    <row r="315">
      <c r="N315">
        <f>=IFERROR(VLOOKUP(VALUE(LEFT(M315,3)),料號對照!$A:$B,2,0),IFERROR(VLOOKUP(VALUE(LEFT(M315,1)),料號對照!$A:$B,2,0),""))</f>
      </c>
      <c r="Q315">
        <f>=IFERROR(VLOOKUP(VALUE(LEFT(P315,3)),料號對照!$A:$B,2,0),IFERROR(VLOOKUP(VALUE(LEFT(P315,1)),料號對照!$A:$B,2,0),""))</f>
      </c>
      <c r="T315">
        <f>=IFERROR(VLOOKUP(VALUE(LEFT(S315,3)),料號對照!$A:$B,2,0),IFERROR(VLOOKUP(VALUE(LEFT(S315,1)),料號對照!$A:$B,2,0),""))</f>
      </c>
    </row>
    <row r="316">
      <c r="N316">
        <f>=IFERROR(VLOOKUP(VALUE(LEFT(M316,3)),料號對照!$A:$B,2,0),IFERROR(VLOOKUP(VALUE(LEFT(M316,1)),料號對照!$A:$B,2,0),""))</f>
      </c>
      <c r="Q316">
        <f>=IFERROR(VLOOKUP(VALUE(LEFT(P316,3)),料號對照!$A:$B,2,0),IFERROR(VLOOKUP(VALUE(LEFT(P316,1)),料號對照!$A:$B,2,0),""))</f>
      </c>
      <c r="T316">
        <f>=IFERROR(VLOOKUP(VALUE(LEFT(S316,3)),料號對照!$A:$B,2,0),IFERROR(VLOOKUP(VALUE(LEFT(S316,1)),料號對照!$A:$B,2,0),""))</f>
      </c>
    </row>
    <row r="317">
      <c r="N317">
        <f>=IFERROR(VLOOKUP(VALUE(LEFT(M317,3)),料號對照!$A:$B,2,0),IFERROR(VLOOKUP(VALUE(LEFT(M317,1)),料號對照!$A:$B,2,0),""))</f>
      </c>
      <c r="Q317">
        <f>=IFERROR(VLOOKUP(VALUE(LEFT(P317,3)),料號對照!$A:$B,2,0),IFERROR(VLOOKUP(VALUE(LEFT(P317,1)),料號對照!$A:$B,2,0),""))</f>
      </c>
      <c r="T317">
        <f>=IFERROR(VLOOKUP(VALUE(LEFT(S317,3)),料號對照!$A:$B,2,0),IFERROR(VLOOKUP(VALUE(LEFT(S317,1)),料號對照!$A:$B,2,0),""))</f>
      </c>
    </row>
    <row r="318">
      <c r="N318">
        <f>=IFERROR(VLOOKUP(VALUE(LEFT(M318,3)),料號對照!$A:$B,2,0),IFERROR(VLOOKUP(VALUE(LEFT(M318,1)),料號對照!$A:$B,2,0),""))</f>
      </c>
      <c r="Q318">
        <f>=IFERROR(VLOOKUP(VALUE(LEFT(P318,3)),料號對照!$A:$B,2,0),IFERROR(VLOOKUP(VALUE(LEFT(P318,1)),料號對照!$A:$B,2,0),""))</f>
      </c>
      <c r="T318">
        <f>=IFERROR(VLOOKUP(VALUE(LEFT(S318,3)),料號對照!$A:$B,2,0),IFERROR(VLOOKUP(VALUE(LEFT(S318,1)),料號對照!$A:$B,2,0),""))</f>
      </c>
    </row>
    <row r="319">
      <c r="N319">
        <f>=IFERROR(VLOOKUP(VALUE(LEFT(M319,3)),料號對照!$A:$B,2,0),IFERROR(VLOOKUP(VALUE(LEFT(M319,1)),料號對照!$A:$B,2,0),""))</f>
      </c>
      <c r="Q319">
        <f>=IFERROR(VLOOKUP(VALUE(LEFT(P319,3)),料號對照!$A:$B,2,0),IFERROR(VLOOKUP(VALUE(LEFT(P319,1)),料號對照!$A:$B,2,0),""))</f>
      </c>
      <c r="T319">
        <f>=IFERROR(VLOOKUP(VALUE(LEFT(S319,3)),料號對照!$A:$B,2,0),IFERROR(VLOOKUP(VALUE(LEFT(S319,1)),料號對照!$A:$B,2,0),""))</f>
      </c>
    </row>
    <row r="320">
      <c r="N320">
        <f>=IFERROR(VLOOKUP(VALUE(LEFT(M320,3)),料號對照!$A:$B,2,0),IFERROR(VLOOKUP(VALUE(LEFT(M320,1)),料號對照!$A:$B,2,0),""))</f>
      </c>
      <c r="Q320">
        <f>=IFERROR(VLOOKUP(VALUE(LEFT(P320,3)),料號對照!$A:$B,2,0),IFERROR(VLOOKUP(VALUE(LEFT(P320,1)),料號對照!$A:$B,2,0),""))</f>
      </c>
      <c r="T320">
        <f>=IFERROR(VLOOKUP(VALUE(LEFT(S320,3)),料號對照!$A:$B,2,0),IFERROR(VLOOKUP(VALUE(LEFT(S320,1)),料號對照!$A:$B,2,0),""))</f>
      </c>
    </row>
    <row r="321">
      <c r="N321">
        <f>=IFERROR(VLOOKUP(VALUE(LEFT(M321,3)),料號對照!$A:$B,2,0),IFERROR(VLOOKUP(VALUE(LEFT(M321,1)),料號對照!$A:$B,2,0),""))</f>
      </c>
      <c r="Q321">
        <f>=IFERROR(VLOOKUP(VALUE(LEFT(P321,3)),料號對照!$A:$B,2,0),IFERROR(VLOOKUP(VALUE(LEFT(P321,1)),料號對照!$A:$B,2,0),""))</f>
      </c>
      <c r="T321">
        <f>=IFERROR(VLOOKUP(VALUE(LEFT(S321,3)),料號對照!$A:$B,2,0),IFERROR(VLOOKUP(VALUE(LEFT(S321,1)),料號對照!$A:$B,2,0),""))</f>
      </c>
    </row>
    <row r="322">
      <c r="N322">
        <f>=IFERROR(VLOOKUP(VALUE(LEFT(M322,3)),料號對照!$A:$B,2,0),IFERROR(VLOOKUP(VALUE(LEFT(M322,1)),料號對照!$A:$B,2,0),""))</f>
      </c>
      <c r="Q322">
        <f>=IFERROR(VLOOKUP(VALUE(LEFT(P322,3)),料號對照!$A:$B,2,0),IFERROR(VLOOKUP(VALUE(LEFT(P322,1)),料號對照!$A:$B,2,0),""))</f>
      </c>
      <c r="T322">
        <f>=IFERROR(VLOOKUP(VALUE(LEFT(S322,3)),料號對照!$A:$B,2,0),IFERROR(VLOOKUP(VALUE(LEFT(S322,1)),料號對照!$A:$B,2,0),""))</f>
      </c>
    </row>
    <row r="323">
      <c r="N323">
        <f>=IFERROR(VLOOKUP(VALUE(LEFT(M323,3)),料號對照!$A:$B,2,0),IFERROR(VLOOKUP(VALUE(LEFT(M323,1)),料號對照!$A:$B,2,0),""))</f>
      </c>
      <c r="Q323">
        <f>=IFERROR(VLOOKUP(VALUE(LEFT(P323,3)),料號對照!$A:$B,2,0),IFERROR(VLOOKUP(VALUE(LEFT(P323,1)),料號對照!$A:$B,2,0),""))</f>
      </c>
      <c r="T323">
        <f>=IFERROR(VLOOKUP(VALUE(LEFT(S323,3)),料號對照!$A:$B,2,0),IFERROR(VLOOKUP(VALUE(LEFT(S323,1)),料號對照!$A:$B,2,0),""))</f>
      </c>
    </row>
    <row r="324">
      <c r="N324">
        <f>=IFERROR(VLOOKUP(VALUE(LEFT(M324,3)),料號對照!$A:$B,2,0),IFERROR(VLOOKUP(VALUE(LEFT(M324,1)),料號對照!$A:$B,2,0),""))</f>
      </c>
      <c r="Q324">
        <f>=IFERROR(VLOOKUP(VALUE(LEFT(P324,3)),料號對照!$A:$B,2,0),IFERROR(VLOOKUP(VALUE(LEFT(P324,1)),料號對照!$A:$B,2,0),""))</f>
      </c>
      <c r="T324">
        <f>=IFERROR(VLOOKUP(VALUE(LEFT(S324,3)),料號對照!$A:$B,2,0),IFERROR(VLOOKUP(VALUE(LEFT(S324,1)),料號對照!$A:$B,2,0),""))</f>
      </c>
    </row>
    <row r="325">
      <c r="N325">
        <f>=IFERROR(VLOOKUP(VALUE(LEFT(M325,3)),料號對照!$A:$B,2,0),IFERROR(VLOOKUP(VALUE(LEFT(M325,1)),料號對照!$A:$B,2,0),""))</f>
      </c>
      <c r="Q325">
        <f>=IFERROR(VLOOKUP(VALUE(LEFT(P325,3)),料號對照!$A:$B,2,0),IFERROR(VLOOKUP(VALUE(LEFT(P325,1)),料號對照!$A:$B,2,0),""))</f>
      </c>
      <c r="T325">
        <f>=IFERROR(VLOOKUP(VALUE(LEFT(S325,3)),料號對照!$A:$B,2,0),IFERROR(VLOOKUP(VALUE(LEFT(S325,1)),料號對照!$A:$B,2,0),""))</f>
      </c>
    </row>
    <row r="326">
      <c r="N326">
        <f>=IFERROR(VLOOKUP(VALUE(LEFT(M326,3)),料號對照!$A:$B,2,0),IFERROR(VLOOKUP(VALUE(LEFT(M326,1)),料號對照!$A:$B,2,0),""))</f>
      </c>
      <c r="Q326">
        <f>=IFERROR(VLOOKUP(VALUE(LEFT(P326,3)),料號對照!$A:$B,2,0),IFERROR(VLOOKUP(VALUE(LEFT(P326,1)),料號對照!$A:$B,2,0),""))</f>
      </c>
      <c r="T326">
        <f>=IFERROR(VLOOKUP(VALUE(LEFT(S326,3)),料號對照!$A:$B,2,0),IFERROR(VLOOKUP(VALUE(LEFT(S326,1)),料號對照!$A:$B,2,0),""))</f>
      </c>
    </row>
    <row r="327">
      <c r="N327">
        <f>=IFERROR(VLOOKUP(VALUE(LEFT(M327,3)),料號對照!$A:$B,2,0),IFERROR(VLOOKUP(VALUE(LEFT(M327,1)),料號對照!$A:$B,2,0),""))</f>
      </c>
      <c r="Q327">
        <f>=IFERROR(VLOOKUP(VALUE(LEFT(P327,3)),料號對照!$A:$B,2,0),IFERROR(VLOOKUP(VALUE(LEFT(P327,1)),料號對照!$A:$B,2,0),""))</f>
      </c>
      <c r="T327">
        <f>=IFERROR(VLOOKUP(VALUE(LEFT(S327,3)),料號對照!$A:$B,2,0),IFERROR(VLOOKUP(VALUE(LEFT(S327,1)),料號對照!$A:$B,2,0),""))</f>
      </c>
    </row>
    <row r="328">
      <c r="N328">
        <f>=IFERROR(VLOOKUP(VALUE(LEFT(M328,3)),料號對照!$A:$B,2,0),IFERROR(VLOOKUP(VALUE(LEFT(M328,1)),料號對照!$A:$B,2,0),""))</f>
      </c>
      <c r="Q328">
        <f>=IFERROR(VLOOKUP(VALUE(LEFT(P328,3)),料號對照!$A:$B,2,0),IFERROR(VLOOKUP(VALUE(LEFT(P328,1)),料號對照!$A:$B,2,0),""))</f>
      </c>
      <c r="T328">
        <f>=IFERROR(VLOOKUP(VALUE(LEFT(S328,3)),料號對照!$A:$B,2,0),IFERROR(VLOOKUP(VALUE(LEFT(S328,1)),料號對照!$A:$B,2,0),""))</f>
      </c>
    </row>
    <row r="329">
      <c r="N329">
        <f>=IFERROR(VLOOKUP(VALUE(LEFT(M329,3)),料號對照!$A:$B,2,0),IFERROR(VLOOKUP(VALUE(LEFT(M329,1)),料號對照!$A:$B,2,0),""))</f>
      </c>
      <c r="Q329">
        <f>=IFERROR(VLOOKUP(VALUE(LEFT(P329,3)),料號對照!$A:$B,2,0),IFERROR(VLOOKUP(VALUE(LEFT(P329,1)),料號對照!$A:$B,2,0),""))</f>
      </c>
      <c r="T329">
        <f>=IFERROR(VLOOKUP(VALUE(LEFT(S329,3)),料號對照!$A:$B,2,0),IFERROR(VLOOKUP(VALUE(LEFT(S329,1)),料號對照!$A:$B,2,0),""))</f>
      </c>
    </row>
    <row r="330">
      <c r="N330">
        <f>=IFERROR(VLOOKUP(VALUE(LEFT(M330,3)),料號對照!$A:$B,2,0),IFERROR(VLOOKUP(VALUE(LEFT(M330,1)),料號對照!$A:$B,2,0),""))</f>
      </c>
      <c r="Q330">
        <f>=IFERROR(VLOOKUP(VALUE(LEFT(P330,3)),料號對照!$A:$B,2,0),IFERROR(VLOOKUP(VALUE(LEFT(P330,1)),料號對照!$A:$B,2,0),""))</f>
      </c>
      <c r="T330">
        <f>=IFERROR(VLOOKUP(VALUE(LEFT(S330,3)),料號對照!$A:$B,2,0),IFERROR(VLOOKUP(VALUE(LEFT(S330,1)),料號對照!$A:$B,2,0),""))</f>
      </c>
    </row>
    <row r="331">
      <c r="N331">
        <f>=IFERROR(VLOOKUP(VALUE(LEFT(M331,3)),料號對照!$A:$B,2,0),IFERROR(VLOOKUP(VALUE(LEFT(M331,1)),料號對照!$A:$B,2,0),""))</f>
      </c>
      <c r="Q331">
        <f>=IFERROR(VLOOKUP(VALUE(LEFT(P331,3)),料號對照!$A:$B,2,0),IFERROR(VLOOKUP(VALUE(LEFT(P331,1)),料號對照!$A:$B,2,0),""))</f>
      </c>
      <c r="T331">
        <f>=IFERROR(VLOOKUP(VALUE(LEFT(S331,3)),料號對照!$A:$B,2,0),IFERROR(VLOOKUP(VALUE(LEFT(S331,1)),料號對照!$A:$B,2,0),""))</f>
      </c>
    </row>
    <row r="332">
      <c r="N332">
        <f>=IFERROR(VLOOKUP(VALUE(LEFT(M332,3)),料號對照!$A:$B,2,0),IFERROR(VLOOKUP(VALUE(LEFT(M332,1)),料號對照!$A:$B,2,0),""))</f>
      </c>
      <c r="Q332">
        <f>=IFERROR(VLOOKUP(VALUE(LEFT(P332,3)),料號對照!$A:$B,2,0),IFERROR(VLOOKUP(VALUE(LEFT(P332,1)),料號對照!$A:$B,2,0),""))</f>
      </c>
      <c r="T332">
        <f>=IFERROR(VLOOKUP(VALUE(LEFT(S332,3)),料號對照!$A:$B,2,0),IFERROR(VLOOKUP(VALUE(LEFT(S332,1)),料號對照!$A:$B,2,0),""))</f>
      </c>
    </row>
    <row r="333">
      <c r="N333">
        <f>=IFERROR(VLOOKUP(VALUE(LEFT(M333,3)),料號對照!$A:$B,2,0),IFERROR(VLOOKUP(VALUE(LEFT(M333,1)),料號對照!$A:$B,2,0),""))</f>
      </c>
      <c r="Q333">
        <f>=IFERROR(VLOOKUP(VALUE(LEFT(P333,3)),料號對照!$A:$B,2,0),IFERROR(VLOOKUP(VALUE(LEFT(P333,1)),料號對照!$A:$B,2,0),""))</f>
      </c>
      <c r="T333">
        <f>=IFERROR(VLOOKUP(VALUE(LEFT(S333,3)),料號對照!$A:$B,2,0),IFERROR(VLOOKUP(VALUE(LEFT(S333,1)),料號對照!$A:$B,2,0),""))</f>
      </c>
    </row>
    <row r="334">
      <c r="N334">
        <f>=IFERROR(VLOOKUP(VALUE(LEFT(M334,3)),料號對照!$A:$B,2,0),IFERROR(VLOOKUP(VALUE(LEFT(M334,1)),料號對照!$A:$B,2,0),""))</f>
      </c>
      <c r="Q334">
        <f>=IFERROR(VLOOKUP(VALUE(LEFT(P334,3)),料號對照!$A:$B,2,0),IFERROR(VLOOKUP(VALUE(LEFT(P334,1)),料號對照!$A:$B,2,0),""))</f>
      </c>
      <c r="T334">
        <f>=IFERROR(VLOOKUP(VALUE(LEFT(S334,3)),料號對照!$A:$B,2,0),IFERROR(VLOOKUP(VALUE(LEFT(S334,1)),料號對照!$A:$B,2,0),""))</f>
      </c>
    </row>
    <row r="335">
      <c r="N335">
        <f>=IFERROR(VLOOKUP(VALUE(LEFT(M335,3)),料號對照!$A:$B,2,0),IFERROR(VLOOKUP(VALUE(LEFT(M335,1)),料號對照!$A:$B,2,0),""))</f>
      </c>
      <c r="Q335">
        <f>=IFERROR(VLOOKUP(VALUE(LEFT(P335,3)),料號對照!$A:$B,2,0),IFERROR(VLOOKUP(VALUE(LEFT(P335,1)),料號對照!$A:$B,2,0),""))</f>
      </c>
      <c r="T335">
        <f>=IFERROR(VLOOKUP(VALUE(LEFT(S335,3)),料號對照!$A:$B,2,0),IFERROR(VLOOKUP(VALUE(LEFT(S335,1)),料號對照!$A:$B,2,0),""))</f>
      </c>
    </row>
    <row r="336">
      <c r="N336">
        <f>=IFERROR(VLOOKUP(VALUE(LEFT(M336,3)),料號對照!$A:$B,2,0),IFERROR(VLOOKUP(VALUE(LEFT(M336,1)),料號對照!$A:$B,2,0),""))</f>
      </c>
      <c r="Q336">
        <f>=IFERROR(VLOOKUP(VALUE(LEFT(P336,3)),料號對照!$A:$B,2,0),IFERROR(VLOOKUP(VALUE(LEFT(P336,1)),料號對照!$A:$B,2,0),""))</f>
      </c>
      <c r="T336">
        <f>=IFERROR(VLOOKUP(VALUE(LEFT(S336,3)),料號對照!$A:$B,2,0),IFERROR(VLOOKUP(VALUE(LEFT(S336,1)),料號對照!$A:$B,2,0),""))</f>
      </c>
    </row>
    <row r="337">
      <c r="N337">
        <f>=IFERROR(VLOOKUP(VALUE(LEFT(M337,3)),料號對照!$A:$B,2,0),IFERROR(VLOOKUP(VALUE(LEFT(M337,1)),料號對照!$A:$B,2,0),""))</f>
      </c>
      <c r="Q337">
        <f>=IFERROR(VLOOKUP(VALUE(LEFT(P337,3)),料號對照!$A:$B,2,0),IFERROR(VLOOKUP(VALUE(LEFT(P337,1)),料號對照!$A:$B,2,0),""))</f>
      </c>
      <c r="T337">
        <f>=IFERROR(VLOOKUP(VALUE(LEFT(S337,3)),料號對照!$A:$B,2,0),IFERROR(VLOOKUP(VALUE(LEFT(S337,1)),料號對照!$A:$B,2,0),""))</f>
      </c>
    </row>
    <row r="338">
      <c r="N338">
        <f>=IFERROR(VLOOKUP(VALUE(LEFT(M338,3)),料號對照!$A:$B,2,0),IFERROR(VLOOKUP(VALUE(LEFT(M338,1)),料號對照!$A:$B,2,0),""))</f>
      </c>
      <c r="Q338">
        <f>=IFERROR(VLOOKUP(VALUE(LEFT(P338,3)),料號對照!$A:$B,2,0),IFERROR(VLOOKUP(VALUE(LEFT(P338,1)),料號對照!$A:$B,2,0),""))</f>
      </c>
      <c r="T338">
        <f>=IFERROR(VLOOKUP(VALUE(LEFT(S338,3)),料號對照!$A:$B,2,0),IFERROR(VLOOKUP(VALUE(LEFT(S338,1)),料號對照!$A:$B,2,0),""))</f>
      </c>
    </row>
    <row r="339">
      <c r="N339">
        <f>=IFERROR(VLOOKUP(VALUE(LEFT(M339,3)),料號對照!$A:$B,2,0),IFERROR(VLOOKUP(VALUE(LEFT(M339,1)),料號對照!$A:$B,2,0),""))</f>
      </c>
      <c r="Q339">
        <f>=IFERROR(VLOOKUP(VALUE(LEFT(P339,3)),料號對照!$A:$B,2,0),IFERROR(VLOOKUP(VALUE(LEFT(P339,1)),料號對照!$A:$B,2,0),""))</f>
      </c>
      <c r="T339">
        <f>=IFERROR(VLOOKUP(VALUE(LEFT(S339,3)),料號對照!$A:$B,2,0),IFERROR(VLOOKUP(VALUE(LEFT(S339,1)),料號對照!$A:$B,2,0),""))</f>
      </c>
    </row>
    <row r="340">
      <c r="N340">
        <f>=IFERROR(VLOOKUP(VALUE(LEFT(M340,3)),料號對照!$A:$B,2,0),IFERROR(VLOOKUP(VALUE(LEFT(M340,1)),料號對照!$A:$B,2,0),""))</f>
      </c>
      <c r="Q340">
        <f>=IFERROR(VLOOKUP(VALUE(LEFT(P340,3)),料號對照!$A:$B,2,0),IFERROR(VLOOKUP(VALUE(LEFT(P340,1)),料號對照!$A:$B,2,0),""))</f>
      </c>
      <c r="T340">
        <f>=IFERROR(VLOOKUP(VALUE(LEFT(S340,3)),料號對照!$A:$B,2,0),IFERROR(VLOOKUP(VALUE(LEFT(S340,1)),料號對照!$A:$B,2,0),""))</f>
      </c>
    </row>
    <row r="341">
      <c r="N341">
        <f>=IFERROR(VLOOKUP(VALUE(LEFT(M341,3)),料號對照!$A:$B,2,0),IFERROR(VLOOKUP(VALUE(LEFT(M341,1)),料號對照!$A:$B,2,0),""))</f>
      </c>
      <c r="Q341">
        <f>=IFERROR(VLOOKUP(VALUE(LEFT(P341,3)),料號對照!$A:$B,2,0),IFERROR(VLOOKUP(VALUE(LEFT(P341,1)),料號對照!$A:$B,2,0),""))</f>
      </c>
      <c r="T341">
        <f>=IFERROR(VLOOKUP(VALUE(LEFT(S341,3)),料號對照!$A:$B,2,0),IFERROR(VLOOKUP(VALUE(LEFT(S341,1)),料號對照!$A:$B,2,0),""))</f>
      </c>
    </row>
    <row r="342">
      <c r="N342">
        <f>=IFERROR(VLOOKUP(VALUE(LEFT(M342,3)),料號對照!$A:$B,2,0),IFERROR(VLOOKUP(VALUE(LEFT(M342,1)),料號對照!$A:$B,2,0),""))</f>
      </c>
      <c r="Q342">
        <f>=IFERROR(VLOOKUP(VALUE(LEFT(P342,3)),料號對照!$A:$B,2,0),IFERROR(VLOOKUP(VALUE(LEFT(P342,1)),料號對照!$A:$B,2,0),""))</f>
      </c>
      <c r="T342">
        <f>=IFERROR(VLOOKUP(VALUE(LEFT(S342,3)),料號對照!$A:$B,2,0),IFERROR(VLOOKUP(VALUE(LEFT(S342,1)),料號對照!$A:$B,2,0),""))</f>
      </c>
    </row>
    <row r="343">
      <c r="N343">
        <f>=IFERROR(VLOOKUP(VALUE(LEFT(M343,3)),料號對照!$A:$B,2,0),IFERROR(VLOOKUP(VALUE(LEFT(M343,1)),料號對照!$A:$B,2,0),""))</f>
      </c>
      <c r="Q343">
        <f>=IFERROR(VLOOKUP(VALUE(LEFT(P343,3)),料號對照!$A:$B,2,0),IFERROR(VLOOKUP(VALUE(LEFT(P343,1)),料號對照!$A:$B,2,0),""))</f>
      </c>
      <c r="T343">
        <f>=IFERROR(VLOOKUP(VALUE(LEFT(S343,3)),料號對照!$A:$B,2,0),IFERROR(VLOOKUP(VALUE(LEFT(S343,1)),料號對照!$A:$B,2,0),""))</f>
      </c>
    </row>
    <row r="344">
      <c r="N344">
        <f>=IFERROR(VLOOKUP(VALUE(LEFT(M344,3)),料號對照!$A:$B,2,0),IFERROR(VLOOKUP(VALUE(LEFT(M344,1)),料號對照!$A:$B,2,0),""))</f>
      </c>
      <c r="Q344">
        <f>=IFERROR(VLOOKUP(VALUE(LEFT(P344,3)),料號對照!$A:$B,2,0),IFERROR(VLOOKUP(VALUE(LEFT(P344,1)),料號對照!$A:$B,2,0),""))</f>
      </c>
      <c r="T344">
        <f>=IFERROR(VLOOKUP(VALUE(LEFT(S344,3)),料號對照!$A:$B,2,0),IFERROR(VLOOKUP(VALUE(LEFT(S344,1)),料號對照!$A:$B,2,0),""))</f>
      </c>
    </row>
    <row r="345">
      <c r="N345">
        <f>=IFERROR(VLOOKUP(VALUE(LEFT(M345,3)),料號對照!$A:$B,2,0),IFERROR(VLOOKUP(VALUE(LEFT(M345,1)),料號對照!$A:$B,2,0),""))</f>
      </c>
      <c r="Q345">
        <f>=IFERROR(VLOOKUP(VALUE(LEFT(P345,3)),料號對照!$A:$B,2,0),IFERROR(VLOOKUP(VALUE(LEFT(P345,1)),料號對照!$A:$B,2,0),""))</f>
      </c>
      <c r="T345">
        <f>=IFERROR(VLOOKUP(VALUE(LEFT(S345,3)),料號對照!$A:$B,2,0),IFERROR(VLOOKUP(VALUE(LEFT(S345,1)),料號對照!$A:$B,2,0),""))</f>
      </c>
    </row>
    <row r="346">
      <c r="N346">
        <f>=IFERROR(VLOOKUP(VALUE(LEFT(M346,3)),料號對照!$A:$B,2,0),IFERROR(VLOOKUP(VALUE(LEFT(M346,1)),料號對照!$A:$B,2,0),""))</f>
      </c>
      <c r="Q346">
        <f>=IFERROR(VLOOKUP(VALUE(LEFT(P346,3)),料號對照!$A:$B,2,0),IFERROR(VLOOKUP(VALUE(LEFT(P346,1)),料號對照!$A:$B,2,0),""))</f>
      </c>
      <c r="T346">
        <f>=IFERROR(VLOOKUP(VALUE(LEFT(S346,3)),料號對照!$A:$B,2,0),IFERROR(VLOOKUP(VALUE(LEFT(S346,1)),料號對照!$A:$B,2,0),""))</f>
      </c>
    </row>
    <row r="347">
      <c r="N347">
        <f>=IFERROR(VLOOKUP(VALUE(LEFT(M347,3)),料號對照!$A:$B,2,0),IFERROR(VLOOKUP(VALUE(LEFT(M347,1)),料號對照!$A:$B,2,0),""))</f>
      </c>
      <c r="Q347">
        <f>=IFERROR(VLOOKUP(VALUE(LEFT(P347,3)),料號對照!$A:$B,2,0),IFERROR(VLOOKUP(VALUE(LEFT(P347,1)),料號對照!$A:$B,2,0),""))</f>
      </c>
      <c r="T347">
        <f>=IFERROR(VLOOKUP(VALUE(LEFT(S347,3)),料號對照!$A:$B,2,0),IFERROR(VLOOKUP(VALUE(LEFT(S347,1)),料號對照!$A:$B,2,0),""))</f>
      </c>
    </row>
    <row r="348">
      <c r="N348">
        <f>=IFERROR(VLOOKUP(VALUE(LEFT(M348,3)),料號對照!$A:$B,2,0),IFERROR(VLOOKUP(VALUE(LEFT(M348,1)),料號對照!$A:$B,2,0),""))</f>
      </c>
      <c r="Q348">
        <f>=IFERROR(VLOOKUP(VALUE(LEFT(P348,3)),料號對照!$A:$B,2,0),IFERROR(VLOOKUP(VALUE(LEFT(P348,1)),料號對照!$A:$B,2,0),""))</f>
      </c>
      <c r="T348">
        <f>=IFERROR(VLOOKUP(VALUE(LEFT(S348,3)),料號對照!$A:$B,2,0),IFERROR(VLOOKUP(VALUE(LEFT(S348,1)),料號對照!$A:$B,2,0),""))</f>
      </c>
    </row>
    <row r="349">
      <c r="N349">
        <f>=IFERROR(VLOOKUP(VALUE(LEFT(M349,3)),料號對照!$A:$B,2,0),IFERROR(VLOOKUP(VALUE(LEFT(M349,1)),料號對照!$A:$B,2,0),""))</f>
      </c>
      <c r="Q349">
        <f>=IFERROR(VLOOKUP(VALUE(LEFT(P349,3)),料號對照!$A:$B,2,0),IFERROR(VLOOKUP(VALUE(LEFT(P349,1)),料號對照!$A:$B,2,0),""))</f>
      </c>
      <c r="T349">
        <f>=IFERROR(VLOOKUP(VALUE(LEFT(S349,3)),料號對照!$A:$B,2,0),IFERROR(VLOOKUP(VALUE(LEFT(S349,1)),料號對照!$A:$B,2,0),""))</f>
      </c>
    </row>
    <row r="350">
      <c r="N350">
        <f>=IFERROR(VLOOKUP(VALUE(LEFT(M350,3)),料號對照!$A:$B,2,0),IFERROR(VLOOKUP(VALUE(LEFT(M350,1)),料號對照!$A:$B,2,0),""))</f>
      </c>
      <c r="Q350">
        <f>=IFERROR(VLOOKUP(VALUE(LEFT(P350,3)),料號對照!$A:$B,2,0),IFERROR(VLOOKUP(VALUE(LEFT(P350,1)),料號對照!$A:$B,2,0),""))</f>
      </c>
      <c r="T350">
        <f>=IFERROR(VLOOKUP(VALUE(LEFT(S350,3)),料號對照!$A:$B,2,0),IFERROR(VLOOKUP(VALUE(LEFT(S350,1)),料號對照!$A:$B,2,0),""))</f>
      </c>
    </row>
    <row r="351">
      <c r="N351">
        <f>=IFERROR(VLOOKUP(VALUE(LEFT(M351,3)),料號對照!$A:$B,2,0),IFERROR(VLOOKUP(VALUE(LEFT(M351,1)),料號對照!$A:$B,2,0),""))</f>
      </c>
      <c r="Q351">
        <f>=IFERROR(VLOOKUP(VALUE(LEFT(P351,3)),料號對照!$A:$B,2,0),IFERROR(VLOOKUP(VALUE(LEFT(P351,1)),料號對照!$A:$B,2,0),""))</f>
      </c>
      <c r="T351">
        <f>=IFERROR(VLOOKUP(VALUE(LEFT(S351,3)),料號對照!$A:$B,2,0),IFERROR(VLOOKUP(VALUE(LEFT(S351,1)),料號對照!$A:$B,2,0),""))</f>
      </c>
    </row>
    <row r="352">
      <c r="N352">
        <f>=IFERROR(VLOOKUP(VALUE(LEFT(M352,3)),料號對照!$A:$B,2,0),IFERROR(VLOOKUP(VALUE(LEFT(M352,1)),料號對照!$A:$B,2,0),""))</f>
      </c>
      <c r="Q352">
        <f>=IFERROR(VLOOKUP(VALUE(LEFT(P352,3)),料號對照!$A:$B,2,0),IFERROR(VLOOKUP(VALUE(LEFT(P352,1)),料號對照!$A:$B,2,0),""))</f>
      </c>
      <c r="T352">
        <f>=IFERROR(VLOOKUP(VALUE(LEFT(S352,3)),料號對照!$A:$B,2,0),IFERROR(VLOOKUP(VALUE(LEFT(S352,1)),料號對照!$A:$B,2,0),""))</f>
      </c>
    </row>
    <row r="353">
      <c r="N353">
        <f>=IFERROR(VLOOKUP(VALUE(LEFT(M353,3)),料號對照!$A:$B,2,0),IFERROR(VLOOKUP(VALUE(LEFT(M353,1)),料號對照!$A:$B,2,0),""))</f>
      </c>
      <c r="Q353">
        <f>=IFERROR(VLOOKUP(VALUE(LEFT(P353,3)),料號對照!$A:$B,2,0),IFERROR(VLOOKUP(VALUE(LEFT(P353,1)),料號對照!$A:$B,2,0),""))</f>
      </c>
      <c r="T353">
        <f>=IFERROR(VLOOKUP(VALUE(LEFT(S353,3)),料號對照!$A:$B,2,0),IFERROR(VLOOKUP(VALUE(LEFT(S353,1)),料號對照!$A:$B,2,0),""))</f>
      </c>
    </row>
    <row r="354">
      <c r="N354">
        <f>=IFERROR(VLOOKUP(VALUE(LEFT(M354,3)),料號對照!$A:$B,2,0),IFERROR(VLOOKUP(VALUE(LEFT(M354,1)),料號對照!$A:$B,2,0),""))</f>
      </c>
      <c r="Q354">
        <f>=IFERROR(VLOOKUP(VALUE(LEFT(P354,3)),料號對照!$A:$B,2,0),IFERROR(VLOOKUP(VALUE(LEFT(P354,1)),料號對照!$A:$B,2,0),""))</f>
      </c>
      <c r="T354">
        <f>=IFERROR(VLOOKUP(VALUE(LEFT(S354,3)),料號對照!$A:$B,2,0),IFERROR(VLOOKUP(VALUE(LEFT(S354,1)),料號對照!$A:$B,2,0),""))</f>
      </c>
    </row>
    <row r="355">
      <c r="N355">
        <f>=IFERROR(VLOOKUP(VALUE(LEFT(M355,3)),料號對照!$A:$B,2,0),IFERROR(VLOOKUP(VALUE(LEFT(M355,1)),料號對照!$A:$B,2,0),""))</f>
      </c>
      <c r="Q355">
        <f>=IFERROR(VLOOKUP(VALUE(LEFT(P355,3)),料號對照!$A:$B,2,0),IFERROR(VLOOKUP(VALUE(LEFT(P355,1)),料號對照!$A:$B,2,0),""))</f>
      </c>
      <c r="T355">
        <f>=IFERROR(VLOOKUP(VALUE(LEFT(S355,3)),料號對照!$A:$B,2,0),IFERROR(VLOOKUP(VALUE(LEFT(S355,1)),料號對照!$A:$B,2,0),""))</f>
      </c>
    </row>
    <row r="356">
      <c r="N356">
        <f>=IFERROR(VLOOKUP(VALUE(LEFT(M356,3)),料號對照!$A:$B,2,0),IFERROR(VLOOKUP(VALUE(LEFT(M356,1)),料號對照!$A:$B,2,0),""))</f>
      </c>
      <c r="Q356">
        <f>=IFERROR(VLOOKUP(VALUE(LEFT(P356,3)),料號對照!$A:$B,2,0),IFERROR(VLOOKUP(VALUE(LEFT(P356,1)),料號對照!$A:$B,2,0),""))</f>
      </c>
      <c r="T356">
        <f>=IFERROR(VLOOKUP(VALUE(LEFT(S356,3)),料號對照!$A:$B,2,0),IFERROR(VLOOKUP(VALUE(LEFT(S356,1)),料號對照!$A:$B,2,0),""))</f>
      </c>
    </row>
    <row r="357">
      <c r="N357">
        <f>=IFERROR(VLOOKUP(VALUE(LEFT(M357,3)),料號對照!$A:$B,2,0),IFERROR(VLOOKUP(VALUE(LEFT(M357,1)),料號對照!$A:$B,2,0),""))</f>
      </c>
      <c r="Q357">
        <f>=IFERROR(VLOOKUP(VALUE(LEFT(P357,3)),料號對照!$A:$B,2,0),IFERROR(VLOOKUP(VALUE(LEFT(P357,1)),料號對照!$A:$B,2,0),""))</f>
      </c>
      <c r="T357">
        <f>=IFERROR(VLOOKUP(VALUE(LEFT(S357,3)),料號對照!$A:$B,2,0),IFERROR(VLOOKUP(VALUE(LEFT(S357,1)),料號對照!$A:$B,2,0),""))</f>
      </c>
    </row>
    <row r="358">
      <c r="N358">
        <f>=IFERROR(VLOOKUP(VALUE(LEFT(M358,3)),料號對照!$A:$B,2,0),IFERROR(VLOOKUP(VALUE(LEFT(M358,1)),料號對照!$A:$B,2,0),""))</f>
      </c>
      <c r="Q358">
        <f>=IFERROR(VLOOKUP(VALUE(LEFT(P358,3)),料號對照!$A:$B,2,0),IFERROR(VLOOKUP(VALUE(LEFT(P358,1)),料號對照!$A:$B,2,0),""))</f>
      </c>
      <c r="T358">
        <f>=IFERROR(VLOOKUP(VALUE(LEFT(S358,3)),料號對照!$A:$B,2,0),IFERROR(VLOOKUP(VALUE(LEFT(S358,1)),料號對照!$A:$B,2,0),""))</f>
      </c>
    </row>
    <row r="359">
      <c r="N359">
        <f>=IFERROR(VLOOKUP(VALUE(LEFT(M359,3)),料號對照!$A:$B,2,0),IFERROR(VLOOKUP(VALUE(LEFT(M359,1)),料號對照!$A:$B,2,0),""))</f>
      </c>
      <c r="Q359">
        <f>=IFERROR(VLOOKUP(VALUE(LEFT(P359,3)),料號對照!$A:$B,2,0),IFERROR(VLOOKUP(VALUE(LEFT(P359,1)),料號對照!$A:$B,2,0),""))</f>
      </c>
      <c r="T359">
        <f>=IFERROR(VLOOKUP(VALUE(LEFT(S359,3)),料號對照!$A:$B,2,0),IFERROR(VLOOKUP(VALUE(LEFT(S359,1)),料號對照!$A:$B,2,0),""))</f>
      </c>
    </row>
    <row r="360">
      <c r="N360">
        <f>=IFERROR(VLOOKUP(VALUE(LEFT(M360,3)),料號對照!$A:$B,2,0),IFERROR(VLOOKUP(VALUE(LEFT(M360,1)),料號對照!$A:$B,2,0),""))</f>
      </c>
      <c r="Q360">
        <f>=IFERROR(VLOOKUP(VALUE(LEFT(P360,3)),料號對照!$A:$B,2,0),IFERROR(VLOOKUP(VALUE(LEFT(P360,1)),料號對照!$A:$B,2,0),""))</f>
      </c>
      <c r="T360">
        <f>=IFERROR(VLOOKUP(VALUE(LEFT(S360,3)),料號對照!$A:$B,2,0),IFERROR(VLOOKUP(VALUE(LEFT(S360,1)),料號對照!$A:$B,2,0),""))</f>
      </c>
    </row>
    <row r="361">
      <c r="N361">
        <f>=IFERROR(VLOOKUP(VALUE(LEFT(M361,3)),料號對照!$A:$B,2,0),IFERROR(VLOOKUP(VALUE(LEFT(M361,1)),料號對照!$A:$B,2,0),""))</f>
      </c>
      <c r="Q361">
        <f>=IFERROR(VLOOKUP(VALUE(LEFT(P361,3)),料號對照!$A:$B,2,0),IFERROR(VLOOKUP(VALUE(LEFT(P361,1)),料號對照!$A:$B,2,0),""))</f>
      </c>
      <c r="T361">
        <f>=IFERROR(VLOOKUP(VALUE(LEFT(S361,3)),料號對照!$A:$B,2,0),IFERROR(VLOOKUP(VALUE(LEFT(S361,1)),料號對照!$A:$B,2,0),""))</f>
      </c>
    </row>
    <row r="362">
      <c r="N362">
        <f>=IFERROR(VLOOKUP(VALUE(LEFT(M362,3)),料號對照!$A:$B,2,0),IFERROR(VLOOKUP(VALUE(LEFT(M362,1)),料號對照!$A:$B,2,0),""))</f>
      </c>
      <c r="Q362">
        <f>=IFERROR(VLOOKUP(VALUE(LEFT(P362,3)),料號對照!$A:$B,2,0),IFERROR(VLOOKUP(VALUE(LEFT(P362,1)),料號對照!$A:$B,2,0),""))</f>
      </c>
      <c r="T362">
        <f>=IFERROR(VLOOKUP(VALUE(LEFT(S362,3)),料號對照!$A:$B,2,0),IFERROR(VLOOKUP(VALUE(LEFT(S362,1)),料號對照!$A:$B,2,0),""))</f>
      </c>
    </row>
    <row r="363">
      <c r="N363">
        <f>=IFERROR(VLOOKUP(VALUE(LEFT(M363,3)),料號對照!$A:$B,2,0),IFERROR(VLOOKUP(VALUE(LEFT(M363,1)),料號對照!$A:$B,2,0),""))</f>
      </c>
      <c r="Q363">
        <f>=IFERROR(VLOOKUP(VALUE(LEFT(P363,3)),料號對照!$A:$B,2,0),IFERROR(VLOOKUP(VALUE(LEFT(P363,1)),料號對照!$A:$B,2,0),""))</f>
      </c>
      <c r="T363">
        <f>=IFERROR(VLOOKUP(VALUE(LEFT(S363,3)),料號對照!$A:$B,2,0),IFERROR(VLOOKUP(VALUE(LEFT(S363,1)),料號對照!$A:$B,2,0),""))</f>
      </c>
    </row>
    <row r="364">
      <c r="N364">
        <f>=IFERROR(VLOOKUP(VALUE(LEFT(M364,3)),料號對照!$A:$B,2,0),IFERROR(VLOOKUP(VALUE(LEFT(M364,1)),料號對照!$A:$B,2,0),""))</f>
      </c>
      <c r="Q364">
        <f>=IFERROR(VLOOKUP(VALUE(LEFT(P364,3)),料號對照!$A:$B,2,0),IFERROR(VLOOKUP(VALUE(LEFT(P364,1)),料號對照!$A:$B,2,0),""))</f>
      </c>
      <c r="T364">
        <f>=IFERROR(VLOOKUP(VALUE(LEFT(S364,3)),料號對照!$A:$B,2,0),IFERROR(VLOOKUP(VALUE(LEFT(S364,1)),料號對照!$A:$B,2,0),""))</f>
      </c>
    </row>
    <row r="365">
      <c r="N365">
        <f>=IFERROR(VLOOKUP(VALUE(LEFT(M365,3)),料號對照!$A:$B,2,0),IFERROR(VLOOKUP(VALUE(LEFT(M365,1)),料號對照!$A:$B,2,0),""))</f>
      </c>
      <c r="Q365">
        <f>=IFERROR(VLOOKUP(VALUE(LEFT(P365,3)),料號對照!$A:$B,2,0),IFERROR(VLOOKUP(VALUE(LEFT(P365,1)),料號對照!$A:$B,2,0),""))</f>
      </c>
      <c r="T365">
        <f>=IFERROR(VLOOKUP(VALUE(LEFT(S365,3)),料號對照!$A:$B,2,0),IFERROR(VLOOKUP(VALUE(LEFT(S365,1)),料號對照!$A:$B,2,0),""))</f>
      </c>
    </row>
    <row r="366">
      <c r="N366">
        <f>=IFERROR(VLOOKUP(VALUE(LEFT(M366,3)),料號對照!$A:$B,2,0),IFERROR(VLOOKUP(VALUE(LEFT(M366,1)),料號對照!$A:$B,2,0),""))</f>
      </c>
      <c r="Q366">
        <f>=IFERROR(VLOOKUP(VALUE(LEFT(P366,3)),料號對照!$A:$B,2,0),IFERROR(VLOOKUP(VALUE(LEFT(P366,1)),料號對照!$A:$B,2,0),""))</f>
      </c>
      <c r="T366">
        <f>=IFERROR(VLOOKUP(VALUE(LEFT(S366,3)),料號對照!$A:$B,2,0),IFERROR(VLOOKUP(VALUE(LEFT(S366,1)),料號對照!$A:$B,2,0),""))</f>
      </c>
    </row>
    <row r="367">
      <c r="N367">
        <f>=IFERROR(VLOOKUP(VALUE(LEFT(M367,3)),料號對照!$A:$B,2,0),IFERROR(VLOOKUP(VALUE(LEFT(M367,1)),料號對照!$A:$B,2,0),""))</f>
      </c>
      <c r="Q367">
        <f>=IFERROR(VLOOKUP(VALUE(LEFT(P367,3)),料號對照!$A:$B,2,0),IFERROR(VLOOKUP(VALUE(LEFT(P367,1)),料號對照!$A:$B,2,0),""))</f>
      </c>
      <c r="T367">
        <f>=IFERROR(VLOOKUP(VALUE(LEFT(S367,3)),料號對照!$A:$B,2,0),IFERROR(VLOOKUP(VALUE(LEFT(S367,1)),料號對照!$A:$B,2,0),""))</f>
      </c>
    </row>
    <row r="368">
      <c r="N368">
        <f>=IFERROR(VLOOKUP(VALUE(LEFT(M368,3)),料號對照!$A:$B,2,0),IFERROR(VLOOKUP(VALUE(LEFT(M368,1)),料號對照!$A:$B,2,0),""))</f>
      </c>
      <c r="Q368">
        <f>=IFERROR(VLOOKUP(VALUE(LEFT(P368,3)),料號對照!$A:$B,2,0),IFERROR(VLOOKUP(VALUE(LEFT(P368,1)),料號對照!$A:$B,2,0),""))</f>
      </c>
      <c r="T368">
        <f>=IFERROR(VLOOKUP(VALUE(LEFT(S368,3)),料號對照!$A:$B,2,0),IFERROR(VLOOKUP(VALUE(LEFT(S368,1)),料號對照!$A:$B,2,0),""))</f>
      </c>
    </row>
    <row r="369">
      <c r="N369">
        <f>=IFERROR(VLOOKUP(VALUE(LEFT(M369,3)),料號對照!$A:$B,2,0),IFERROR(VLOOKUP(VALUE(LEFT(M369,1)),料號對照!$A:$B,2,0),""))</f>
      </c>
      <c r="Q369">
        <f>=IFERROR(VLOOKUP(VALUE(LEFT(P369,3)),料號對照!$A:$B,2,0),IFERROR(VLOOKUP(VALUE(LEFT(P369,1)),料號對照!$A:$B,2,0),""))</f>
      </c>
      <c r="T369">
        <f>=IFERROR(VLOOKUP(VALUE(LEFT(S369,3)),料號對照!$A:$B,2,0),IFERROR(VLOOKUP(VALUE(LEFT(S369,1)),料號對照!$A:$B,2,0),""))</f>
      </c>
    </row>
    <row r="370">
      <c r="N370">
        <f>=IFERROR(VLOOKUP(VALUE(LEFT(M370,3)),料號對照!$A:$B,2,0),IFERROR(VLOOKUP(VALUE(LEFT(M370,1)),料號對照!$A:$B,2,0),""))</f>
      </c>
      <c r="Q370">
        <f>=IFERROR(VLOOKUP(VALUE(LEFT(P370,3)),料號對照!$A:$B,2,0),IFERROR(VLOOKUP(VALUE(LEFT(P370,1)),料號對照!$A:$B,2,0),""))</f>
      </c>
      <c r="T370">
        <f>=IFERROR(VLOOKUP(VALUE(LEFT(S370,3)),料號對照!$A:$B,2,0),IFERROR(VLOOKUP(VALUE(LEFT(S370,1)),料號對照!$A:$B,2,0),""))</f>
      </c>
    </row>
    <row r="371">
      <c r="N371">
        <f>=IFERROR(VLOOKUP(VALUE(LEFT(M371,3)),料號對照!$A:$B,2,0),IFERROR(VLOOKUP(VALUE(LEFT(M371,1)),料號對照!$A:$B,2,0),""))</f>
      </c>
      <c r="Q371">
        <f>=IFERROR(VLOOKUP(VALUE(LEFT(P371,3)),料號對照!$A:$B,2,0),IFERROR(VLOOKUP(VALUE(LEFT(P371,1)),料號對照!$A:$B,2,0),""))</f>
      </c>
      <c r="T371">
        <f>=IFERROR(VLOOKUP(VALUE(LEFT(S371,3)),料號對照!$A:$B,2,0),IFERROR(VLOOKUP(VALUE(LEFT(S371,1)),料號對照!$A:$B,2,0),""))</f>
      </c>
    </row>
    <row r="372">
      <c r="N372">
        <f>=IFERROR(VLOOKUP(VALUE(LEFT(M372,3)),料號對照!$A:$B,2,0),IFERROR(VLOOKUP(VALUE(LEFT(M372,1)),料號對照!$A:$B,2,0),""))</f>
      </c>
      <c r="Q372">
        <f>=IFERROR(VLOOKUP(VALUE(LEFT(P372,3)),料號對照!$A:$B,2,0),IFERROR(VLOOKUP(VALUE(LEFT(P372,1)),料號對照!$A:$B,2,0),""))</f>
      </c>
      <c r="T372">
        <f>=IFERROR(VLOOKUP(VALUE(LEFT(S372,3)),料號對照!$A:$B,2,0),IFERROR(VLOOKUP(VALUE(LEFT(S372,1)),料號對照!$A:$B,2,0),""))</f>
      </c>
    </row>
    <row r="373">
      <c r="N373">
        <f>=IFERROR(VLOOKUP(VALUE(LEFT(M373,3)),料號對照!$A:$B,2,0),IFERROR(VLOOKUP(VALUE(LEFT(M373,1)),料號對照!$A:$B,2,0),""))</f>
      </c>
      <c r="Q373">
        <f>=IFERROR(VLOOKUP(VALUE(LEFT(P373,3)),料號對照!$A:$B,2,0),IFERROR(VLOOKUP(VALUE(LEFT(P373,1)),料號對照!$A:$B,2,0),""))</f>
      </c>
      <c r="T373">
        <f>=IFERROR(VLOOKUP(VALUE(LEFT(S373,3)),料號對照!$A:$B,2,0),IFERROR(VLOOKUP(VALUE(LEFT(S373,1)),料號對照!$A:$B,2,0),""))</f>
      </c>
    </row>
    <row r="374">
      <c r="N374">
        <f>=IFERROR(VLOOKUP(VALUE(LEFT(M374,3)),料號對照!$A:$B,2,0),IFERROR(VLOOKUP(VALUE(LEFT(M374,1)),料號對照!$A:$B,2,0),""))</f>
      </c>
      <c r="Q374">
        <f>=IFERROR(VLOOKUP(VALUE(LEFT(P374,3)),料號對照!$A:$B,2,0),IFERROR(VLOOKUP(VALUE(LEFT(P374,1)),料號對照!$A:$B,2,0),""))</f>
      </c>
      <c r="T374">
        <f>=IFERROR(VLOOKUP(VALUE(LEFT(S374,3)),料號對照!$A:$B,2,0),IFERROR(VLOOKUP(VALUE(LEFT(S374,1)),料號對照!$A:$B,2,0),""))</f>
      </c>
    </row>
    <row r="375">
      <c r="N375">
        <f>=IFERROR(VLOOKUP(VALUE(LEFT(M375,3)),料號對照!$A:$B,2,0),IFERROR(VLOOKUP(VALUE(LEFT(M375,1)),料號對照!$A:$B,2,0),""))</f>
      </c>
      <c r="Q375">
        <f>=IFERROR(VLOOKUP(VALUE(LEFT(P375,3)),料號對照!$A:$B,2,0),IFERROR(VLOOKUP(VALUE(LEFT(P375,1)),料號對照!$A:$B,2,0),""))</f>
      </c>
      <c r="T375">
        <f>=IFERROR(VLOOKUP(VALUE(LEFT(S375,3)),料號對照!$A:$B,2,0),IFERROR(VLOOKUP(VALUE(LEFT(S375,1)),料號對照!$A:$B,2,0),""))</f>
      </c>
    </row>
    <row r="376">
      <c r="N376">
        <f>=IFERROR(VLOOKUP(VALUE(LEFT(M376,3)),料號對照!$A:$B,2,0),IFERROR(VLOOKUP(VALUE(LEFT(M376,1)),料號對照!$A:$B,2,0),""))</f>
      </c>
      <c r="Q376">
        <f>=IFERROR(VLOOKUP(VALUE(LEFT(P376,3)),料號對照!$A:$B,2,0),IFERROR(VLOOKUP(VALUE(LEFT(P376,1)),料號對照!$A:$B,2,0),""))</f>
      </c>
      <c r="T376">
        <f>=IFERROR(VLOOKUP(VALUE(LEFT(S376,3)),料號對照!$A:$B,2,0),IFERROR(VLOOKUP(VALUE(LEFT(S376,1)),料號對照!$A:$B,2,0),""))</f>
      </c>
    </row>
    <row r="377">
      <c r="N377">
        <f>=IFERROR(VLOOKUP(VALUE(LEFT(M377,3)),料號對照!$A:$B,2,0),IFERROR(VLOOKUP(VALUE(LEFT(M377,1)),料號對照!$A:$B,2,0),""))</f>
      </c>
      <c r="Q377">
        <f>=IFERROR(VLOOKUP(VALUE(LEFT(P377,3)),料號對照!$A:$B,2,0),IFERROR(VLOOKUP(VALUE(LEFT(P377,1)),料號對照!$A:$B,2,0),""))</f>
      </c>
      <c r="T377">
        <f>=IFERROR(VLOOKUP(VALUE(LEFT(S377,3)),料號對照!$A:$B,2,0),IFERROR(VLOOKUP(VALUE(LEFT(S377,1)),料號對照!$A:$B,2,0),""))</f>
      </c>
    </row>
    <row r="378">
      <c r="N378">
        <f>=IFERROR(VLOOKUP(VALUE(LEFT(M378,3)),料號對照!$A:$B,2,0),IFERROR(VLOOKUP(VALUE(LEFT(M378,1)),料號對照!$A:$B,2,0),""))</f>
      </c>
      <c r="Q378">
        <f>=IFERROR(VLOOKUP(VALUE(LEFT(P378,3)),料號對照!$A:$B,2,0),IFERROR(VLOOKUP(VALUE(LEFT(P378,1)),料號對照!$A:$B,2,0),""))</f>
      </c>
      <c r="T378">
        <f>=IFERROR(VLOOKUP(VALUE(LEFT(S378,3)),料號對照!$A:$B,2,0),IFERROR(VLOOKUP(VALUE(LEFT(S378,1)),料號對照!$A:$B,2,0),""))</f>
      </c>
    </row>
    <row r="379">
      <c r="N379">
        <f>=IFERROR(VLOOKUP(VALUE(LEFT(M379,3)),料號對照!$A:$B,2,0),IFERROR(VLOOKUP(VALUE(LEFT(M379,1)),料號對照!$A:$B,2,0),""))</f>
      </c>
      <c r="Q379">
        <f>=IFERROR(VLOOKUP(VALUE(LEFT(P379,3)),料號對照!$A:$B,2,0),IFERROR(VLOOKUP(VALUE(LEFT(P379,1)),料號對照!$A:$B,2,0),""))</f>
      </c>
      <c r="T379">
        <f>=IFERROR(VLOOKUP(VALUE(LEFT(S379,3)),料號對照!$A:$B,2,0),IFERROR(VLOOKUP(VALUE(LEFT(S379,1)),料號對照!$A:$B,2,0),""))</f>
      </c>
    </row>
    <row r="380">
      <c r="N380">
        <f>=IFERROR(VLOOKUP(VALUE(LEFT(M380,3)),料號對照!$A:$B,2,0),IFERROR(VLOOKUP(VALUE(LEFT(M380,1)),料號對照!$A:$B,2,0),""))</f>
      </c>
      <c r="Q380">
        <f>=IFERROR(VLOOKUP(VALUE(LEFT(P380,3)),料號對照!$A:$B,2,0),IFERROR(VLOOKUP(VALUE(LEFT(P380,1)),料號對照!$A:$B,2,0),""))</f>
      </c>
      <c r="T380">
        <f>=IFERROR(VLOOKUP(VALUE(LEFT(S380,3)),料號對照!$A:$B,2,0),IFERROR(VLOOKUP(VALUE(LEFT(S380,1)),料號對照!$A:$B,2,0),""))</f>
      </c>
    </row>
    <row r="381">
      <c r="N381">
        <f>=IFERROR(VLOOKUP(VALUE(LEFT(M381,3)),料號對照!$A:$B,2,0),IFERROR(VLOOKUP(VALUE(LEFT(M381,1)),料號對照!$A:$B,2,0),""))</f>
      </c>
      <c r="Q381">
        <f>=IFERROR(VLOOKUP(VALUE(LEFT(P381,3)),料號對照!$A:$B,2,0),IFERROR(VLOOKUP(VALUE(LEFT(P381,1)),料號對照!$A:$B,2,0),""))</f>
      </c>
      <c r="T381">
        <f>=IFERROR(VLOOKUP(VALUE(LEFT(S381,3)),料號對照!$A:$B,2,0),IFERROR(VLOOKUP(VALUE(LEFT(S381,1)),料號對照!$A:$B,2,0),""))</f>
      </c>
    </row>
    <row r="382">
      <c r="N382">
        <f>=IFERROR(VLOOKUP(VALUE(LEFT(M382,3)),料號對照!$A:$B,2,0),IFERROR(VLOOKUP(VALUE(LEFT(M382,1)),料號對照!$A:$B,2,0),""))</f>
      </c>
      <c r="Q382">
        <f>=IFERROR(VLOOKUP(VALUE(LEFT(P382,3)),料號對照!$A:$B,2,0),IFERROR(VLOOKUP(VALUE(LEFT(P382,1)),料號對照!$A:$B,2,0),""))</f>
      </c>
      <c r="T382">
        <f>=IFERROR(VLOOKUP(VALUE(LEFT(S382,3)),料號對照!$A:$B,2,0),IFERROR(VLOOKUP(VALUE(LEFT(S382,1)),料號對照!$A:$B,2,0),""))</f>
      </c>
    </row>
    <row r="383">
      <c r="N383">
        <f>=IFERROR(VLOOKUP(VALUE(LEFT(M383,3)),料號對照!$A:$B,2,0),IFERROR(VLOOKUP(VALUE(LEFT(M383,1)),料號對照!$A:$B,2,0),""))</f>
      </c>
      <c r="Q383">
        <f>=IFERROR(VLOOKUP(VALUE(LEFT(P383,3)),料號對照!$A:$B,2,0),IFERROR(VLOOKUP(VALUE(LEFT(P383,1)),料號對照!$A:$B,2,0),""))</f>
      </c>
      <c r="T383">
        <f>=IFERROR(VLOOKUP(VALUE(LEFT(S383,3)),料號對照!$A:$B,2,0),IFERROR(VLOOKUP(VALUE(LEFT(S383,1)),料號對照!$A:$B,2,0),""))</f>
      </c>
    </row>
    <row r="384">
      <c r="N384">
        <f>=IFERROR(VLOOKUP(VALUE(LEFT(M384,3)),料號對照!$A:$B,2,0),IFERROR(VLOOKUP(VALUE(LEFT(M384,1)),料號對照!$A:$B,2,0),""))</f>
      </c>
      <c r="Q384">
        <f>=IFERROR(VLOOKUP(VALUE(LEFT(P384,3)),料號對照!$A:$B,2,0),IFERROR(VLOOKUP(VALUE(LEFT(P384,1)),料號對照!$A:$B,2,0),""))</f>
      </c>
      <c r="T384">
        <f>=IFERROR(VLOOKUP(VALUE(LEFT(S384,3)),料號對照!$A:$B,2,0),IFERROR(VLOOKUP(VALUE(LEFT(S384,1)),料號對照!$A:$B,2,0),""))</f>
      </c>
    </row>
    <row r="385">
      <c r="N385">
        <f>=IFERROR(VLOOKUP(VALUE(LEFT(M385,3)),料號對照!$A:$B,2,0),IFERROR(VLOOKUP(VALUE(LEFT(M385,1)),料號對照!$A:$B,2,0),""))</f>
      </c>
      <c r="Q385">
        <f>=IFERROR(VLOOKUP(VALUE(LEFT(P385,3)),料號對照!$A:$B,2,0),IFERROR(VLOOKUP(VALUE(LEFT(P385,1)),料號對照!$A:$B,2,0),""))</f>
      </c>
      <c r="T385">
        <f>=IFERROR(VLOOKUP(VALUE(LEFT(S385,3)),料號對照!$A:$B,2,0),IFERROR(VLOOKUP(VALUE(LEFT(S385,1)),料號對照!$A:$B,2,0),""))</f>
      </c>
    </row>
    <row r="386">
      <c r="N386">
        <f>=IFERROR(VLOOKUP(VALUE(LEFT(M386,3)),料號對照!$A:$B,2,0),IFERROR(VLOOKUP(VALUE(LEFT(M386,1)),料號對照!$A:$B,2,0),""))</f>
      </c>
      <c r="Q386">
        <f>=IFERROR(VLOOKUP(VALUE(LEFT(P386,3)),料號對照!$A:$B,2,0),IFERROR(VLOOKUP(VALUE(LEFT(P386,1)),料號對照!$A:$B,2,0),""))</f>
      </c>
      <c r="T386">
        <f>=IFERROR(VLOOKUP(VALUE(LEFT(S386,3)),料號對照!$A:$B,2,0),IFERROR(VLOOKUP(VALUE(LEFT(S386,1)),料號對照!$A:$B,2,0),""))</f>
      </c>
    </row>
    <row r="387">
      <c r="N387">
        <f>=IFERROR(VLOOKUP(VALUE(LEFT(M387,3)),料號對照!$A:$B,2,0),IFERROR(VLOOKUP(VALUE(LEFT(M387,1)),料號對照!$A:$B,2,0),""))</f>
      </c>
      <c r="Q387">
        <f>=IFERROR(VLOOKUP(VALUE(LEFT(P387,3)),料號對照!$A:$B,2,0),IFERROR(VLOOKUP(VALUE(LEFT(P387,1)),料號對照!$A:$B,2,0),""))</f>
      </c>
      <c r="T387">
        <f>=IFERROR(VLOOKUP(VALUE(LEFT(S387,3)),料號對照!$A:$B,2,0),IFERROR(VLOOKUP(VALUE(LEFT(S387,1)),料號對照!$A:$B,2,0),""))</f>
      </c>
    </row>
    <row r="388">
      <c r="N388">
        <f>=IFERROR(VLOOKUP(VALUE(LEFT(M388,3)),料號對照!$A:$B,2,0),IFERROR(VLOOKUP(VALUE(LEFT(M388,1)),料號對照!$A:$B,2,0),""))</f>
      </c>
      <c r="Q388">
        <f>=IFERROR(VLOOKUP(VALUE(LEFT(P388,3)),料號對照!$A:$B,2,0),IFERROR(VLOOKUP(VALUE(LEFT(P388,1)),料號對照!$A:$B,2,0),""))</f>
      </c>
      <c r="T388">
        <f>=IFERROR(VLOOKUP(VALUE(LEFT(S388,3)),料號對照!$A:$B,2,0),IFERROR(VLOOKUP(VALUE(LEFT(S388,1)),料號對照!$A:$B,2,0),""))</f>
      </c>
    </row>
    <row r="389">
      <c r="N389">
        <f>=IFERROR(VLOOKUP(VALUE(LEFT(M389,3)),料號對照!$A:$B,2,0),IFERROR(VLOOKUP(VALUE(LEFT(M389,1)),料號對照!$A:$B,2,0),""))</f>
      </c>
      <c r="Q389">
        <f>=IFERROR(VLOOKUP(VALUE(LEFT(P389,3)),料號對照!$A:$B,2,0),IFERROR(VLOOKUP(VALUE(LEFT(P389,1)),料號對照!$A:$B,2,0),""))</f>
      </c>
      <c r="T389">
        <f>=IFERROR(VLOOKUP(VALUE(LEFT(S389,3)),料號對照!$A:$B,2,0),IFERROR(VLOOKUP(VALUE(LEFT(S389,1)),料號對照!$A:$B,2,0),""))</f>
      </c>
    </row>
    <row r="390">
      <c r="N390">
        <f>=IFERROR(VLOOKUP(VALUE(LEFT(M390,3)),料號對照!$A:$B,2,0),IFERROR(VLOOKUP(VALUE(LEFT(M390,1)),料號對照!$A:$B,2,0),""))</f>
      </c>
      <c r="Q390">
        <f>=IFERROR(VLOOKUP(VALUE(LEFT(P390,3)),料號對照!$A:$B,2,0),IFERROR(VLOOKUP(VALUE(LEFT(P390,1)),料號對照!$A:$B,2,0),""))</f>
      </c>
      <c r="T390">
        <f>=IFERROR(VLOOKUP(VALUE(LEFT(S390,3)),料號對照!$A:$B,2,0),IFERROR(VLOOKUP(VALUE(LEFT(S390,1)),料號對照!$A:$B,2,0),""))</f>
      </c>
    </row>
    <row r="391">
      <c r="N391">
        <f>=IFERROR(VLOOKUP(VALUE(LEFT(M391,3)),料號對照!$A:$B,2,0),IFERROR(VLOOKUP(VALUE(LEFT(M391,1)),料號對照!$A:$B,2,0),""))</f>
      </c>
      <c r="Q391">
        <f>=IFERROR(VLOOKUP(VALUE(LEFT(P391,3)),料號對照!$A:$B,2,0),IFERROR(VLOOKUP(VALUE(LEFT(P391,1)),料號對照!$A:$B,2,0),""))</f>
      </c>
      <c r="T391">
        <f>=IFERROR(VLOOKUP(VALUE(LEFT(S391,3)),料號對照!$A:$B,2,0),IFERROR(VLOOKUP(VALUE(LEFT(S391,1)),料號對照!$A:$B,2,0),""))</f>
      </c>
    </row>
    <row r="392">
      <c r="N392">
        <f>=IFERROR(VLOOKUP(VALUE(LEFT(M392,3)),料號對照!$A:$B,2,0),IFERROR(VLOOKUP(VALUE(LEFT(M392,1)),料號對照!$A:$B,2,0),""))</f>
      </c>
      <c r="Q392">
        <f>=IFERROR(VLOOKUP(VALUE(LEFT(P392,3)),料號對照!$A:$B,2,0),IFERROR(VLOOKUP(VALUE(LEFT(P392,1)),料號對照!$A:$B,2,0),""))</f>
      </c>
      <c r="T392">
        <f>=IFERROR(VLOOKUP(VALUE(LEFT(S392,3)),料號對照!$A:$B,2,0),IFERROR(VLOOKUP(VALUE(LEFT(S392,1)),料號對照!$A:$B,2,0),""))</f>
      </c>
    </row>
    <row r="393">
      <c r="N393">
        <f>=IFERROR(VLOOKUP(VALUE(LEFT(M393,3)),料號對照!$A:$B,2,0),IFERROR(VLOOKUP(VALUE(LEFT(M393,1)),料號對照!$A:$B,2,0),""))</f>
      </c>
      <c r="Q393">
        <f>=IFERROR(VLOOKUP(VALUE(LEFT(P393,3)),料號對照!$A:$B,2,0),IFERROR(VLOOKUP(VALUE(LEFT(P393,1)),料號對照!$A:$B,2,0),""))</f>
      </c>
      <c r="T393">
        <f>=IFERROR(VLOOKUP(VALUE(LEFT(S393,3)),料號對照!$A:$B,2,0),IFERROR(VLOOKUP(VALUE(LEFT(S393,1)),料號對照!$A:$B,2,0),""))</f>
      </c>
    </row>
    <row r="394">
      <c r="N394">
        <f>=IFERROR(VLOOKUP(VALUE(LEFT(M394,3)),料號對照!$A:$B,2,0),IFERROR(VLOOKUP(VALUE(LEFT(M394,1)),料號對照!$A:$B,2,0),""))</f>
      </c>
      <c r="Q394">
        <f>=IFERROR(VLOOKUP(VALUE(LEFT(P394,3)),料號對照!$A:$B,2,0),IFERROR(VLOOKUP(VALUE(LEFT(P394,1)),料號對照!$A:$B,2,0),""))</f>
      </c>
      <c r="T394">
        <f>=IFERROR(VLOOKUP(VALUE(LEFT(S394,3)),料號對照!$A:$B,2,0),IFERROR(VLOOKUP(VALUE(LEFT(S394,1)),料號對照!$A:$B,2,0),""))</f>
      </c>
    </row>
    <row r="395">
      <c r="N395">
        <f>=IFERROR(VLOOKUP(VALUE(LEFT(M395,3)),料號對照!$A:$B,2,0),IFERROR(VLOOKUP(VALUE(LEFT(M395,1)),料號對照!$A:$B,2,0),""))</f>
      </c>
      <c r="Q395">
        <f>=IFERROR(VLOOKUP(VALUE(LEFT(P395,3)),料號對照!$A:$B,2,0),IFERROR(VLOOKUP(VALUE(LEFT(P395,1)),料號對照!$A:$B,2,0),""))</f>
      </c>
      <c r="T395">
        <f>=IFERROR(VLOOKUP(VALUE(LEFT(S395,3)),料號對照!$A:$B,2,0),IFERROR(VLOOKUP(VALUE(LEFT(S395,1)),料號對照!$A:$B,2,0),""))</f>
      </c>
    </row>
    <row r="396">
      <c r="N396">
        <f>=IFERROR(VLOOKUP(VALUE(LEFT(M396,3)),料號對照!$A:$B,2,0),IFERROR(VLOOKUP(VALUE(LEFT(M396,1)),料號對照!$A:$B,2,0),""))</f>
      </c>
      <c r="Q396">
        <f>=IFERROR(VLOOKUP(VALUE(LEFT(P396,3)),料號對照!$A:$B,2,0),IFERROR(VLOOKUP(VALUE(LEFT(P396,1)),料號對照!$A:$B,2,0),""))</f>
      </c>
      <c r="T396">
        <f>=IFERROR(VLOOKUP(VALUE(LEFT(S396,3)),料號對照!$A:$B,2,0),IFERROR(VLOOKUP(VALUE(LEFT(S396,1)),料號對照!$A:$B,2,0),""))</f>
      </c>
    </row>
    <row r="397">
      <c r="N397">
        <f>=IFERROR(VLOOKUP(VALUE(LEFT(M397,3)),料號對照!$A:$B,2,0),IFERROR(VLOOKUP(VALUE(LEFT(M397,1)),料號對照!$A:$B,2,0),""))</f>
      </c>
      <c r="Q397">
        <f>=IFERROR(VLOOKUP(VALUE(LEFT(P397,3)),料號對照!$A:$B,2,0),IFERROR(VLOOKUP(VALUE(LEFT(P397,1)),料號對照!$A:$B,2,0),""))</f>
      </c>
      <c r="T397">
        <f>=IFERROR(VLOOKUP(VALUE(LEFT(S397,3)),料號對照!$A:$B,2,0),IFERROR(VLOOKUP(VALUE(LEFT(S397,1)),料號對照!$A:$B,2,0),""))</f>
      </c>
    </row>
    <row r="398">
      <c r="N398">
        <f>=IFERROR(VLOOKUP(VALUE(LEFT(M398,3)),料號對照!$A:$B,2,0),IFERROR(VLOOKUP(VALUE(LEFT(M398,1)),料號對照!$A:$B,2,0),""))</f>
      </c>
      <c r="Q398">
        <f>=IFERROR(VLOOKUP(VALUE(LEFT(P398,3)),料號對照!$A:$B,2,0),IFERROR(VLOOKUP(VALUE(LEFT(P398,1)),料號對照!$A:$B,2,0),""))</f>
      </c>
      <c r="T398">
        <f>=IFERROR(VLOOKUP(VALUE(LEFT(S398,3)),料號對照!$A:$B,2,0),IFERROR(VLOOKUP(VALUE(LEFT(S398,1)),料號對照!$A:$B,2,0),""))</f>
      </c>
    </row>
    <row r="399">
      <c r="N399">
        <f>=IFERROR(VLOOKUP(VALUE(LEFT(M399,3)),料號對照!$A:$B,2,0),IFERROR(VLOOKUP(VALUE(LEFT(M399,1)),料號對照!$A:$B,2,0),""))</f>
      </c>
      <c r="Q399">
        <f>=IFERROR(VLOOKUP(VALUE(LEFT(P399,3)),料號對照!$A:$B,2,0),IFERROR(VLOOKUP(VALUE(LEFT(P399,1)),料號對照!$A:$B,2,0),""))</f>
      </c>
      <c r="T399">
        <f>=IFERROR(VLOOKUP(VALUE(LEFT(S399,3)),料號對照!$A:$B,2,0),IFERROR(VLOOKUP(VALUE(LEFT(S399,1)),料號對照!$A:$B,2,0),""))</f>
      </c>
    </row>
    <row r="400">
      <c r="N400">
        <f>=IFERROR(VLOOKUP(VALUE(LEFT(M400,3)),料號對照!$A:$B,2,0),IFERROR(VLOOKUP(VALUE(LEFT(M400,1)),料號對照!$A:$B,2,0),""))</f>
      </c>
      <c r="Q400">
        <f>=IFERROR(VLOOKUP(VALUE(LEFT(P400,3)),料號對照!$A:$B,2,0),IFERROR(VLOOKUP(VALUE(LEFT(P400,1)),料號對照!$A:$B,2,0),""))</f>
      </c>
      <c r="T400">
        <f>=IFERROR(VLOOKUP(VALUE(LEFT(S400,3)),料號對照!$A:$B,2,0),IFERROR(VLOOKUP(VALUE(LEFT(S400,1)),料號對照!$A:$B,2,0),""))</f>
      </c>
    </row>
    <row r="401">
      <c r="N401">
        <f>=IFERROR(VLOOKUP(VALUE(LEFT(M401,3)),料號對照!$A:$B,2,0),IFERROR(VLOOKUP(VALUE(LEFT(M401,1)),料號對照!$A:$B,2,0),""))</f>
      </c>
      <c r="Q401">
        <f>=IFERROR(VLOOKUP(VALUE(LEFT(P401,3)),料號對照!$A:$B,2,0),IFERROR(VLOOKUP(VALUE(LEFT(P401,1)),料號對照!$A:$B,2,0),""))</f>
      </c>
      <c r="T401">
        <f>=IFERROR(VLOOKUP(VALUE(LEFT(S401,3)),料號對照!$A:$B,2,0),IFERROR(VLOOKUP(VALUE(LEFT(S401,1)),料號對照!$A:$B,2,0),""))</f>
      </c>
    </row>
    <row r="402">
      <c r="N402">
        <f>=IFERROR(VLOOKUP(VALUE(LEFT(M402,3)),料號對照!$A:$B,2,0),IFERROR(VLOOKUP(VALUE(LEFT(M402,1)),料號對照!$A:$B,2,0),""))</f>
      </c>
      <c r="Q402">
        <f>=IFERROR(VLOOKUP(VALUE(LEFT(P402,3)),料號對照!$A:$B,2,0),IFERROR(VLOOKUP(VALUE(LEFT(P402,1)),料號對照!$A:$B,2,0),""))</f>
      </c>
      <c r="T402">
        <f>=IFERROR(VLOOKUP(VALUE(LEFT(S402,3)),料號對照!$A:$B,2,0),IFERROR(VLOOKUP(VALUE(LEFT(S402,1)),料號對照!$A:$B,2,0),""))</f>
      </c>
    </row>
    <row r="403">
      <c r="N403">
        <f>=IFERROR(VLOOKUP(VALUE(LEFT(M403,3)),料號對照!$A:$B,2,0),IFERROR(VLOOKUP(VALUE(LEFT(M403,1)),料號對照!$A:$B,2,0),""))</f>
      </c>
      <c r="Q403">
        <f>=IFERROR(VLOOKUP(VALUE(LEFT(P403,3)),料號對照!$A:$B,2,0),IFERROR(VLOOKUP(VALUE(LEFT(P403,1)),料號對照!$A:$B,2,0),""))</f>
      </c>
      <c r="T403">
        <f>=IFERROR(VLOOKUP(VALUE(LEFT(S403,3)),料號對照!$A:$B,2,0),IFERROR(VLOOKUP(VALUE(LEFT(S403,1)),料號對照!$A:$B,2,0),""))</f>
      </c>
    </row>
    <row r="404">
      <c r="N404">
        <f>=IFERROR(VLOOKUP(VALUE(LEFT(M404,3)),料號對照!$A:$B,2,0),IFERROR(VLOOKUP(VALUE(LEFT(M404,1)),料號對照!$A:$B,2,0),""))</f>
      </c>
      <c r="Q404">
        <f>=IFERROR(VLOOKUP(VALUE(LEFT(P404,3)),料號對照!$A:$B,2,0),IFERROR(VLOOKUP(VALUE(LEFT(P404,1)),料號對照!$A:$B,2,0),""))</f>
      </c>
      <c r="T404">
        <f>=IFERROR(VLOOKUP(VALUE(LEFT(S404,3)),料號對照!$A:$B,2,0),IFERROR(VLOOKUP(VALUE(LEFT(S404,1)),料號對照!$A:$B,2,0),""))</f>
      </c>
    </row>
    <row r="405">
      <c r="N405">
        <f>=IFERROR(VLOOKUP(VALUE(LEFT(M405,3)),料號對照!$A:$B,2,0),IFERROR(VLOOKUP(VALUE(LEFT(M405,1)),料號對照!$A:$B,2,0),""))</f>
      </c>
      <c r="Q405">
        <f>=IFERROR(VLOOKUP(VALUE(LEFT(P405,3)),料號對照!$A:$B,2,0),IFERROR(VLOOKUP(VALUE(LEFT(P405,1)),料號對照!$A:$B,2,0),""))</f>
      </c>
      <c r="T405">
        <f>=IFERROR(VLOOKUP(VALUE(LEFT(S405,3)),料號對照!$A:$B,2,0),IFERROR(VLOOKUP(VALUE(LEFT(S405,1)),料號對照!$A:$B,2,0),""))</f>
      </c>
    </row>
    <row r="406">
      <c r="N406">
        <f>=IFERROR(VLOOKUP(VALUE(LEFT(M406,3)),料號對照!$A:$B,2,0),IFERROR(VLOOKUP(VALUE(LEFT(M406,1)),料號對照!$A:$B,2,0),""))</f>
      </c>
      <c r="Q406">
        <f>=IFERROR(VLOOKUP(VALUE(LEFT(P406,3)),料號對照!$A:$B,2,0),IFERROR(VLOOKUP(VALUE(LEFT(P406,1)),料號對照!$A:$B,2,0),""))</f>
      </c>
      <c r="T406">
        <f>=IFERROR(VLOOKUP(VALUE(LEFT(S406,3)),料號對照!$A:$B,2,0),IFERROR(VLOOKUP(VALUE(LEFT(S406,1)),料號對照!$A:$B,2,0),""))</f>
      </c>
    </row>
    <row r="407">
      <c r="N407">
        <f>=IFERROR(VLOOKUP(VALUE(LEFT(M407,3)),料號對照!$A:$B,2,0),IFERROR(VLOOKUP(VALUE(LEFT(M407,1)),料號對照!$A:$B,2,0),""))</f>
      </c>
      <c r="Q407">
        <f>=IFERROR(VLOOKUP(VALUE(LEFT(P407,3)),料號對照!$A:$B,2,0),IFERROR(VLOOKUP(VALUE(LEFT(P407,1)),料號對照!$A:$B,2,0),""))</f>
      </c>
      <c r="T407">
        <f>=IFERROR(VLOOKUP(VALUE(LEFT(S407,3)),料號對照!$A:$B,2,0),IFERROR(VLOOKUP(VALUE(LEFT(S407,1)),料號對照!$A:$B,2,0),""))</f>
      </c>
    </row>
    <row r="408">
      <c r="N408">
        <f>=IFERROR(VLOOKUP(VALUE(LEFT(M408,3)),料號對照!$A:$B,2,0),IFERROR(VLOOKUP(VALUE(LEFT(M408,1)),料號對照!$A:$B,2,0),""))</f>
      </c>
      <c r="Q408">
        <f>=IFERROR(VLOOKUP(VALUE(LEFT(P408,3)),料號對照!$A:$B,2,0),IFERROR(VLOOKUP(VALUE(LEFT(P408,1)),料號對照!$A:$B,2,0),""))</f>
      </c>
      <c r="T408">
        <f>=IFERROR(VLOOKUP(VALUE(LEFT(S408,3)),料號對照!$A:$B,2,0),IFERROR(VLOOKUP(VALUE(LEFT(S408,1)),料號對照!$A:$B,2,0),""))</f>
      </c>
    </row>
    <row r="409">
      <c r="N409">
        <f>=IFERROR(VLOOKUP(VALUE(LEFT(M409,3)),料號對照!$A:$B,2,0),IFERROR(VLOOKUP(VALUE(LEFT(M409,1)),料號對照!$A:$B,2,0),""))</f>
      </c>
      <c r="Q409">
        <f>=IFERROR(VLOOKUP(VALUE(LEFT(P409,3)),料號對照!$A:$B,2,0),IFERROR(VLOOKUP(VALUE(LEFT(P409,1)),料號對照!$A:$B,2,0),""))</f>
      </c>
      <c r="T409">
        <f>=IFERROR(VLOOKUP(VALUE(LEFT(S409,3)),料號對照!$A:$B,2,0),IFERROR(VLOOKUP(VALUE(LEFT(S409,1)),料號對照!$A:$B,2,0),""))</f>
      </c>
    </row>
    <row r="410">
      <c r="N410">
        <f>=IFERROR(VLOOKUP(VALUE(LEFT(M410,3)),料號對照!$A:$B,2,0),IFERROR(VLOOKUP(VALUE(LEFT(M410,1)),料號對照!$A:$B,2,0),""))</f>
      </c>
      <c r="Q410">
        <f>=IFERROR(VLOOKUP(VALUE(LEFT(P410,3)),料號對照!$A:$B,2,0),IFERROR(VLOOKUP(VALUE(LEFT(P410,1)),料號對照!$A:$B,2,0),""))</f>
      </c>
      <c r="T410">
        <f>=IFERROR(VLOOKUP(VALUE(LEFT(S410,3)),料號對照!$A:$B,2,0),IFERROR(VLOOKUP(VALUE(LEFT(S410,1)),料號對照!$A:$B,2,0),""))</f>
      </c>
    </row>
    <row r="411">
      <c r="N411">
        <f>=IFERROR(VLOOKUP(VALUE(LEFT(M411,3)),料號對照!$A:$B,2,0),IFERROR(VLOOKUP(VALUE(LEFT(M411,1)),料號對照!$A:$B,2,0),""))</f>
      </c>
      <c r="Q411">
        <f>=IFERROR(VLOOKUP(VALUE(LEFT(P411,3)),料號對照!$A:$B,2,0),IFERROR(VLOOKUP(VALUE(LEFT(P411,1)),料號對照!$A:$B,2,0),""))</f>
      </c>
      <c r="T411">
        <f>=IFERROR(VLOOKUP(VALUE(LEFT(S411,3)),料號對照!$A:$B,2,0),IFERROR(VLOOKUP(VALUE(LEFT(S411,1)),料號對照!$A:$B,2,0),""))</f>
      </c>
    </row>
    <row r="412">
      <c r="N412">
        <f>=IFERROR(VLOOKUP(VALUE(LEFT(M412,3)),料號對照!$A:$B,2,0),IFERROR(VLOOKUP(VALUE(LEFT(M412,1)),料號對照!$A:$B,2,0),""))</f>
      </c>
      <c r="Q412">
        <f>=IFERROR(VLOOKUP(VALUE(LEFT(P412,3)),料號對照!$A:$B,2,0),IFERROR(VLOOKUP(VALUE(LEFT(P412,1)),料號對照!$A:$B,2,0),""))</f>
      </c>
      <c r="T412">
        <f>=IFERROR(VLOOKUP(VALUE(LEFT(S412,3)),料號對照!$A:$B,2,0),IFERROR(VLOOKUP(VALUE(LEFT(S412,1)),料號對照!$A:$B,2,0),""))</f>
      </c>
    </row>
    <row r="413">
      <c r="N413">
        <f>=IFERROR(VLOOKUP(VALUE(LEFT(M413,3)),料號對照!$A:$B,2,0),IFERROR(VLOOKUP(VALUE(LEFT(M413,1)),料號對照!$A:$B,2,0),""))</f>
      </c>
      <c r="Q413">
        <f>=IFERROR(VLOOKUP(VALUE(LEFT(P413,3)),料號對照!$A:$B,2,0),IFERROR(VLOOKUP(VALUE(LEFT(P413,1)),料號對照!$A:$B,2,0),""))</f>
      </c>
      <c r="T413">
        <f>=IFERROR(VLOOKUP(VALUE(LEFT(S413,3)),料號對照!$A:$B,2,0),IFERROR(VLOOKUP(VALUE(LEFT(S413,1)),料號對照!$A:$B,2,0),""))</f>
      </c>
    </row>
    <row r="414">
      <c r="N414">
        <f>=IFERROR(VLOOKUP(VALUE(LEFT(M414,3)),料號對照!$A:$B,2,0),IFERROR(VLOOKUP(VALUE(LEFT(M414,1)),料號對照!$A:$B,2,0),""))</f>
      </c>
      <c r="Q414">
        <f>=IFERROR(VLOOKUP(VALUE(LEFT(P414,3)),料號對照!$A:$B,2,0),IFERROR(VLOOKUP(VALUE(LEFT(P414,1)),料號對照!$A:$B,2,0),""))</f>
      </c>
      <c r="T414">
        <f>=IFERROR(VLOOKUP(VALUE(LEFT(S414,3)),料號對照!$A:$B,2,0),IFERROR(VLOOKUP(VALUE(LEFT(S414,1)),料號對照!$A:$B,2,0),""))</f>
      </c>
    </row>
    <row r="415">
      <c r="N415">
        <f>=IFERROR(VLOOKUP(VALUE(LEFT(M415,3)),料號對照!$A:$B,2,0),IFERROR(VLOOKUP(VALUE(LEFT(M415,1)),料號對照!$A:$B,2,0),""))</f>
      </c>
      <c r="Q415">
        <f>=IFERROR(VLOOKUP(VALUE(LEFT(P415,3)),料號對照!$A:$B,2,0),IFERROR(VLOOKUP(VALUE(LEFT(P415,1)),料號對照!$A:$B,2,0),""))</f>
      </c>
      <c r="T415">
        <f>=IFERROR(VLOOKUP(VALUE(LEFT(S415,3)),料號對照!$A:$B,2,0),IFERROR(VLOOKUP(VALUE(LEFT(S415,1)),料號對照!$A:$B,2,0),""))</f>
      </c>
    </row>
    <row r="416">
      <c r="N416">
        <f>=IFERROR(VLOOKUP(VALUE(LEFT(M416,3)),料號對照!$A:$B,2,0),IFERROR(VLOOKUP(VALUE(LEFT(M416,1)),料號對照!$A:$B,2,0),""))</f>
      </c>
      <c r="Q416">
        <f>=IFERROR(VLOOKUP(VALUE(LEFT(P416,3)),料號對照!$A:$B,2,0),IFERROR(VLOOKUP(VALUE(LEFT(P416,1)),料號對照!$A:$B,2,0),""))</f>
      </c>
      <c r="T416">
        <f>=IFERROR(VLOOKUP(VALUE(LEFT(S416,3)),料號對照!$A:$B,2,0),IFERROR(VLOOKUP(VALUE(LEFT(S416,1)),料號對照!$A:$B,2,0),""))</f>
      </c>
    </row>
    <row r="417">
      <c r="N417">
        <f>=IFERROR(VLOOKUP(VALUE(LEFT(M417,3)),料號對照!$A:$B,2,0),IFERROR(VLOOKUP(VALUE(LEFT(M417,1)),料號對照!$A:$B,2,0),""))</f>
      </c>
      <c r="Q417">
        <f>=IFERROR(VLOOKUP(VALUE(LEFT(P417,3)),料號對照!$A:$B,2,0),IFERROR(VLOOKUP(VALUE(LEFT(P417,1)),料號對照!$A:$B,2,0),""))</f>
      </c>
      <c r="T417">
        <f>=IFERROR(VLOOKUP(VALUE(LEFT(S417,3)),料號對照!$A:$B,2,0),IFERROR(VLOOKUP(VALUE(LEFT(S417,1)),料號對照!$A:$B,2,0),""))</f>
      </c>
    </row>
    <row r="418">
      <c r="N418">
        <f>=IFERROR(VLOOKUP(VALUE(LEFT(M418,3)),料號對照!$A:$B,2,0),IFERROR(VLOOKUP(VALUE(LEFT(M418,1)),料號對照!$A:$B,2,0),""))</f>
      </c>
      <c r="Q418">
        <f>=IFERROR(VLOOKUP(VALUE(LEFT(P418,3)),料號對照!$A:$B,2,0),IFERROR(VLOOKUP(VALUE(LEFT(P418,1)),料號對照!$A:$B,2,0),""))</f>
      </c>
      <c r="T418">
        <f>=IFERROR(VLOOKUP(VALUE(LEFT(S418,3)),料號對照!$A:$B,2,0),IFERROR(VLOOKUP(VALUE(LEFT(S418,1)),料號對照!$A:$B,2,0),""))</f>
      </c>
    </row>
    <row r="419">
      <c r="N419">
        <f>=IFERROR(VLOOKUP(VALUE(LEFT(M419,3)),料號對照!$A:$B,2,0),IFERROR(VLOOKUP(VALUE(LEFT(M419,1)),料號對照!$A:$B,2,0),""))</f>
      </c>
      <c r="Q419">
        <f>=IFERROR(VLOOKUP(VALUE(LEFT(P419,3)),料號對照!$A:$B,2,0),IFERROR(VLOOKUP(VALUE(LEFT(P419,1)),料號對照!$A:$B,2,0),""))</f>
      </c>
      <c r="T419">
        <f>=IFERROR(VLOOKUP(VALUE(LEFT(S419,3)),料號對照!$A:$B,2,0),IFERROR(VLOOKUP(VALUE(LEFT(S419,1)),料號對照!$A:$B,2,0),""))</f>
      </c>
    </row>
    <row r="420">
      <c r="N420">
        <f>=IFERROR(VLOOKUP(VALUE(LEFT(M420,3)),料號對照!$A:$B,2,0),IFERROR(VLOOKUP(VALUE(LEFT(M420,1)),料號對照!$A:$B,2,0),""))</f>
      </c>
      <c r="Q420">
        <f>=IFERROR(VLOOKUP(VALUE(LEFT(P420,3)),料號對照!$A:$B,2,0),IFERROR(VLOOKUP(VALUE(LEFT(P420,1)),料號對照!$A:$B,2,0),""))</f>
      </c>
      <c r="T420">
        <f>=IFERROR(VLOOKUP(VALUE(LEFT(S420,3)),料號對照!$A:$B,2,0),IFERROR(VLOOKUP(VALUE(LEFT(S420,1)),料號對照!$A:$B,2,0),""))</f>
      </c>
    </row>
    <row r="421">
      <c r="N421">
        <f>=IFERROR(VLOOKUP(VALUE(LEFT(M421,3)),料號對照!$A:$B,2,0),IFERROR(VLOOKUP(VALUE(LEFT(M421,1)),料號對照!$A:$B,2,0),""))</f>
      </c>
      <c r="Q421">
        <f>=IFERROR(VLOOKUP(VALUE(LEFT(P421,3)),料號對照!$A:$B,2,0),IFERROR(VLOOKUP(VALUE(LEFT(P421,1)),料號對照!$A:$B,2,0),""))</f>
      </c>
      <c r="T421">
        <f>=IFERROR(VLOOKUP(VALUE(LEFT(S421,3)),料號對照!$A:$B,2,0),IFERROR(VLOOKUP(VALUE(LEFT(S421,1)),料號對照!$A:$B,2,0),""))</f>
      </c>
    </row>
    <row r="422">
      <c r="N422">
        <f>=IFERROR(VLOOKUP(VALUE(LEFT(M422,3)),料號對照!$A:$B,2,0),IFERROR(VLOOKUP(VALUE(LEFT(M422,1)),料號對照!$A:$B,2,0),""))</f>
      </c>
      <c r="Q422">
        <f>=IFERROR(VLOOKUP(VALUE(LEFT(P422,3)),料號對照!$A:$B,2,0),IFERROR(VLOOKUP(VALUE(LEFT(P422,1)),料號對照!$A:$B,2,0),""))</f>
      </c>
      <c r="T422">
        <f>=IFERROR(VLOOKUP(VALUE(LEFT(S422,3)),料號對照!$A:$B,2,0),IFERROR(VLOOKUP(VALUE(LEFT(S422,1)),料號對照!$A:$B,2,0),""))</f>
      </c>
    </row>
    <row r="423">
      <c r="N423">
        <f>=IFERROR(VLOOKUP(VALUE(LEFT(M423,3)),料號對照!$A:$B,2,0),IFERROR(VLOOKUP(VALUE(LEFT(M423,1)),料號對照!$A:$B,2,0),""))</f>
      </c>
      <c r="Q423">
        <f>=IFERROR(VLOOKUP(VALUE(LEFT(P423,3)),料號對照!$A:$B,2,0),IFERROR(VLOOKUP(VALUE(LEFT(P423,1)),料號對照!$A:$B,2,0),""))</f>
      </c>
      <c r="T423">
        <f>=IFERROR(VLOOKUP(VALUE(LEFT(S423,3)),料號對照!$A:$B,2,0),IFERROR(VLOOKUP(VALUE(LEFT(S423,1)),料號對照!$A:$B,2,0),""))</f>
      </c>
    </row>
    <row r="424">
      <c r="N424">
        <f>=IFERROR(VLOOKUP(VALUE(LEFT(M424,3)),料號對照!$A:$B,2,0),IFERROR(VLOOKUP(VALUE(LEFT(M424,1)),料號對照!$A:$B,2,0),""))</f>
      </c>
      <c r="Q424">
        <f>=IFERROR(VLOOKUP(VALUE(LEFT(P424,3)),料號對照!$A:$B,2,0),IFERROR(VLOOKUP(VALUE(LEFT(P424,1)),料號對照!$A:$B,2,0),""))</f>
      </c>
      <c r="T424">
        <f>=IFERROR(VLOOKUP(VALUE(LEFT(S424,3)),料號對照!$A:$B,2,0),IFERROR(VLOOKUP(VALUE(LEFT(S424,1)),料號對照!$A:$B,2,0),""))</f>
      </c>
    </row>
    <row r="425">
      <c r="N425">
        <f>=IFERROR(VLOOKUP(VALUE(LEFT(M425,3)),料號對照!$A:$B,2,0),IFERROR(VLOOKUP(VALUE(LEFT(M425,1)),料號對照!$A:$B,2,0),""))</f>
      </c>
      <c r="Q425">
        <f>=IFERROR(VLOOKUP(VALUE(LEFT(P425,3)),料號對照!$A:$B,2,0),IFERROR(VLOOKUP(VALUE(LEFT(P425,1)),料號對照!$A:$B,2,0),""))</f>
      </c>
      <c r="T425">
        <f>=IFERROR(VLOOKUP(VALUE(LEFT(S425,3)),料號對照!$A:$B,2,0),IFERROR(VLOOKUP(VALUE(LEFT(S425,1)),料號對照!$A:$B,2,0),""))</f>
      </c>
    </row>
    <row r="426">
      <c r="N426">
        <f>=IFERROR(VLOOKUP(VALUE(LEFT(M426,3)),料號對照!$A:$B,2,0),IFERROR(VLOOKUP(VALUE(LEFT(M426,1)),料號對照!$A:$B,2,0),""))</f>
      </c>
      <c r="Q426">
        <f>=IFERROR(VLOOKUP(VALUE(LEFT(P426,3)),料號對照!$A:$B,2,0),IFERROR(VLOOKUP(VALUE(LEFT(P426,1)),料號對照!$A:$B,2,0),""))</f>
      </c>
      <c r="T426">
        <f>=IFERROR(VLOOKUP(VALUE(LEFT(S426,3)),料號對照!$A:$B,2,0),IFERROR(VLOOKUP(VALUE(LEFT(S426,1)),料號對照!$A:$B,2,0),""))</f>
      </c>
    </row>
    <row r="427">
      <c r="N427">
        <f>=IFERROR(VLOOKUP(VALUE(LEFT(M427,3)),料號對照!$A:$B,2,0),IFERROR(VLOOKUP(VALUE(LEFT(M427,1)),料號對照!$A:$B,2,0),""))</f>
      </c>
      <c r="Q427">
        <f>=IFERROR(VLOOKUP(VALUE(LEFT(P427,3)),料號對照!$A:$B,2,0),IFERROR(VLOOKUP(VALUE(LEFT(P427,1)),料號對照!$A:$B,2,0),""))</f>
      </c>
      <c r="T427">
        <f>=IFERROR(VLOOKUP(VALUE(LEFT(S427,3)),料號對照!$A:$B,2,0),IFERROR(VLOOKUP(VALUE(LEFT(S427,1)),料號對照!$A:$B,2,0),""))</f>
      </c>
    </row>
    <row r="428">
      <c r="N428">
        <f>=IFERROR(VLOOKUP(VALUE(LEFT(M428,3)),料號對照!$A:$B,2,0),IFERROR(VLOOKUP(VALUE(LEFT(M428,1)),料號對照!$A:$B,2,0),""))</f>
      </c>
      <c r="Q428">
        <f>=IFERROR(VLOOKUP(VALUE(LEFT(P428,3)),料號對照!$A:$B,2,0),IFERROR(VLOOKUP(VALUE(LEFT(P428,1)),料號對照!$A:$B,2,0),""))</f>
      </c>
      <c r="T428">
        <f>=IFERROR(VLOOKUP(VALUE(LEFT(S428,3)),料號對照!$A:$B,2,0),IFERROR(VLOOKUP(VALUE(LEFT(S428,1)),料號對照!$A:$B,2,0),""))</f>
      </c>
    </row>
    <row r="429">
      <c r="N429">
        <f>=IFERROR(VLOOKUP(VALUE(LEFT(M429,3)),料號對照!$A:$B,2,0),IFERROR(VLOOKUP(VALUE(LEFT(M429,1)),料號對照!$A:$B,2,0),""))</f>
      </c>
      <c r="Q429">
        <f>=IFERROR(VLOOKUP(VALUE(LEFT(P429,3)),料號對照!$A:$B,2,0),IFERROR(VLOOKUP(VALUE(LEFT(P429,1)),料號對照!$A:$B,2,0),""))</f>
      </c>
      <c r="T429">
        <f>=IFERROR(VLOOKUP(VALUE(LEFT(S429,3)),料號對照!$A:$B,2,0),IFERROR(VLOOKUP(VALUE(LEFT(S429,1)),料號對照!$A:$B,2,0),""))</f>
      </c>
    </row>
    <row r="430">
      <c r="N430">
        <f>=IFERROR(VLOOKUP(VALUE(LEFT(M430,3)),料號對照!$A:$B,2,0),IFERROR(VLOOKUP(VALUE(LEFT(M430,1)),料號對照!$A:$B,2,0),""))</f>
      </c>
      <c r="Q430">
        <f>=IFERROR(VLOOKUP(VALUE(LEFT(P430,3)),料號對照!$A:$B,2,0),IFERROR(VLOOKUP(VALUE(LEFT(P430,1)),料號對照!$A:$B,2,0),""))</f>
      </c>
      <c r="T430">
        <f>=IFERROR(VLOOKUP(VALUE(LEFT(S430,3)),料號對照!$A:$B,2,0),IFERROR(VLOOKUP(VALUE(LEFT(S430,1)),料號對照!$A:$B,2,0),""))</f>
      </c>
    </row>
    <row r="431">
      <c r="N431">
        <f>=IFERROR(VLOOKUP(VALUE(LEFT(M431,3)),料號對照!$A:$B,2,0),IFERROR(VLOOKUP(VALUE(LEFT(M431,1)),料號對照!$A:$B,2,0),""))</f>
      </c>
      <c r="Q431">
        <f>=IFERROR(VLOOKUP(VALUE(LEFT(P431,3)),料號對照!$A:$B,2,0),IFERROR(VLOOKUP(VALUE(LEFT(P431,1)),料號對照!$A:$B,2,0),""))</f>
      </c>
      <c r="T431">
        <f>=IFERROR(VLOOKUP(VALUE(LEFT(S431,3)),料號對照!$A:$B,2,0),IFERROR(VLOOKUP(VALUE(LEFT(S431,1)),料號對照!$A:$B,2,0),""))</f>
      </c>
    </row>
    <row r="432">
      <c r="N432">
        <f>=IFERROR(VLOOKUP(VALUE(LEFT(M432,3)),料號對照!$A:$B,2,0),IFERROR(VLOOKUP(VALUE(LEFT(M432,1)),料號對照!$A:$B,2,0),""))</f>
      </c>
      <c r="Q432">
        <f>=IFERROR(VLOOKUP(VALUE(LEFT(P432,3)),料號對照!$A:$B,2,0),IFERROR(VLOOKUP(VALUE(LEFT(P432,1)),料號對照!$A:$B,2,0),""))</f>
      </c>
      <c r="T432">
        <f>=IFERROR(VLOOKUP(VALUE(LEFT(S432,3)),料號對照!$A:$B,2,0),IFERROR(VLOOKUP(VALUE(LEFT(S432,1)),料號對照!$A:$B,2,0),""))</f>
      </c>
    </row>
    <row r="433">
      <c r="N433">
        <f>=IFERROR(VLOOKUP(VALUE(LEFT(M433,3)),料號對照!$A:$B,2,0),IFERROR(VLOOKUP(VALUE(LEFT(M433,1)),料號對照!$A:$B,2,0),""))</f>
      </c>
      <c r="Q433">
        <f>=IFERROR(VLOOKUP(VALUE(LEFT(P433,3)),料號對照!$A:$B,2,0),IFERROR(VLOOKUP(VALUE(LEFT(P433,1)),料號對照!$A:$B,2,0),""))</f>
      </c>
      <c r="T433">
        <f>=IFERROR(VLOOKUP(VALUE(LEFT(S433,3)),料號對照!$A:$B,2,0),IFERROR(VLOOKUP(VALUE(LEFT(S433,1)),料號對照!$A:$B,2,0),""))</f>
      </c>
    </row>
    <row r="434">
      <c r="N434">
        <f>=IFERROR(VLOOKUP(VALUE(LEFT(M434,3)),料號對照!$A:$B,2,0),IFERROR(VLOOKUP(VALUE(LEFT(M434,1)),料號對照!$A:$B,2,0),""))</f>
      </c>
      <c r="Q434">
        <f>=IFERROR(VLOOKUP(VALUE(LEFT(P434,3)),料號對照!$A:$B,2,0),IFERROR(VLOOKUP(VALUE(LEFT(P434,1)),料號對照!$A:$B,2,0),""))</f>
      </c>
      <c r="T434">
        <f>=IFERROR(VLOOKUP(VALUE(LEFT(S434,3)),料號對照!$A:$B,2,0),IFERROR(VLOOKUP(VALUE(LEFT(S434,1)),料號對照!$A:$B,2,0),""))</f>
      </c>
    </row>
    <row r="435">
      <c r="N435">
        <f>=IFERROR(VLOOKUP(VALUE(LEFT(M435,3)),料號對照!$A:$B,2,0),IFERROR(VLOOKUP(VALUE(LEFT(M435,1)),料號對照!$A:$B,2,0),""))</f>
      </c>
      <c r="Q435">
        <f>=IFERROR(VLOOKUP(VALUE(LEFT(P435,3)),料號對照!$A:$B,2,0),IFERROR(VLOOKUP(VALUE(LEFT(P435,1)),料號對照!$A:$B,2,0),""))</f>
      </c>
      <c r="T435">
        <f>=IFERROR(VLOOKUP(VALUE(LEFT(S435,3)),料號對照!$A:$B,2,0),IFERROR(VLOOKUP(VALUE(LEFT(S435,1)),料號對照!$A:$B,2,0),""))</f>
      </c>
    </row>
    <row r="436">
      <c r="N436">
        <f>=IFERROR(VLOOKUP(VALUE(LEFT(M436,3)),料號對照!$A:$B,2,0),IFERROR(VLOOKUP(VALUE(LEFT(M436,1)),料號對照!$A:$B,2,0),""))</f>
      </c>
      <c r="Q436">
        <f>=IFERROR(VLOOKUP(VALUE(LEFT(P436,3)),料號對照!$A:$B,2,0),IFERROR(VLOOKUP(VALUE(LEFT(P436,1)),料號對照!$A:$B,2,0),""))</f>
      </c>
      <c r="T436">
        <f>=IFERROR(VLOOKUP(VALUE(LEFT(S436,3)),料號對照!$A:$B,2,0),IFERROR(VLOOKUP(VALUE(LEFT(S436,1)),料號對照!$A:$B,2,0),""))</f>
      </c>
    </row>
    <row r="437">
      <c r="N437">
        <f>=IFERROR(VLOOKUP(VALUE(LEFT(M437,3)),料號對照!$A:$B,2,0),IFERROR(VLOOKUP(VALUE(LEFT(M437,1)),料號對照!$A:$B,2,0),""))</f>
      </c>
      <c r="Q437">
        <f>=IFERROR(VLOOKUP(VALUE(LEFT(P437,3)),料號對照!$A:$B,2,0),IFERROR(VLOOKUP(VALUE(LEFT(P437,1)),料號對照!$A:$B,2,0),""))</f>
      </c>
      <c r="T437">
        <f>=IFERROR(VLOOKUP(VALUE(LEFT(S437,3)),料號對照!$A:$B,2,0),IFERROR(VLOOKUP(VALUE(LEFT(S437,1)),料號對照!$A:$B,2,0),""))</f>
      </c>
    </row>
    <row r="438">
      <c r="N438">
        <f>=IFERROR(VLOOKUP(VALUE(LEFT(M438,3)),料號對照!$A:$B,2,0),IFERROR(VLOOKUP(VALUE(LEFT(M438,1)),料號對照!$A:$B,2,0),""))</f>
      </c>
      <c r="Q438">
        <f>=IFERROR(VLOOKUP(VALUE(LEFT(P438,3)),料號對照!$A:$B,2,0),IFERROR(VLOOKUP(VALUE(LEFT(P438,1)),料號對照!$A:$B,2,0),""))</f>
      </c>
      <c r="T438">
        <f>=IFERROR(VLOOKUP(VALUE(LEFT(S438,3)),料號對照!$A:$B,2,0),IFERROR(VLOOKUP(VALUE(LEFT(S438,1)),料號對照!$A:$B,2,0),""))</f>
      </c>
    </row>
    <row r="439">
      <c r="N439">
        <f>=IFERROR(VLOOKUP(VALUE(LEFT(M439,3)),料號對照!$A:$B,2,0),IFERROR(VLOOKUP(VALUE(LEFT(M439,1)),料號對照!$A:$B,2,0),""))</f>
      </c>
      <c r="Q439">
        <f>=IFERROR(VLOOKUP(VALUE(LEFT(P439,3)),料號對照!$A:$B,2,0),IFERROR(VLOOKUP(VALUE(LEFT(P439,1)),料號對照!$A:$B,2,0),""))</f>
      </c>
      <c r="T439">
        <f>=IFERROR(VLOOKUP(VALUE(LEFT(S439,3)),料號對照!$A:$B,2,0),IFERROR(VLOOKUP(VALUE(LEFT(S439,1)),料號對照!$A:$B,2,0),""))</f>
      </c>
    </row>
    <row r="440">
      <c r="N440">
        <f>=IFERROR(VLOOKUP(VALUE(LEFT(M440,3)),料號對照!$A:$B,2,0),IFERROR(VLOOKUP(VALUE(LEFT(M440,1)),料號對照!$A:$B,2,0),""))</f>
      </c>
      <c r="Q440">
        <f>=IFERROR(VLOOKUP(VALUE(LEFT(P440,3)),料號對照!$A:$B,2,0),IFERROR(VLOOKUP(VALUE(LEFT(P440,1)),料號對照!$A:$B,2,0),""))</f>
      </c>
      <c r="T440">
        <f>=IFERROR(VLOOKUP(VALUE(LEFT(S440,3)),料號對照!$A:$B,2,0),IFERROR(VLOOKUP(VALUE(LEFT(S440,1)),料號對照!$A:$B,2,0),""))</f>
      </c>
    </row>
    <row r="441">
      <c r="N441">
        <f>=IFERROR(VLOOKUP(VALUE(LEFT(M441,3)),料號對照!$A:$B,2,0),IFERROR(VLOOKUP(VALUE(LEFT(M441,1)),料號對照!$A:$B,2,0),""))</f>
      </c>
      <c r="Q441">
        <f>=IFERROR(VLOOKUP(VALUE(LEFT(P441,3)),料號對照!$A:$B,2,0),IFERROR(VLOOKUP(VALUE(LEFT(P441,1)),料號對照!$A:$B,2,0),""))</f>
      </c>
      <c r="T441">
        <f>=IFERROR(VLOOKUP(VALUE(LEFT(S441,3)),料號對照!$A:$B,2,0),IFERROR(VLOOKUP(VALUE(LEFT(S441,1)),料號對照!$A:$B,2,0),""))</f>
      </c>
    </row>
    <row r="442">
      <c r="N442">
        <f>=IFERROR(VLOOKUP(VALUE(LEFT(M442,3)),料號對照!$A:$B,2,0),IFERROR(VLOOKUP(VALUE(LEFT(M442,1)),料號對照!$A:$B,2,0),""))</f>
      </c>
      <c r="Q442">
        <f>=IFERROR(VLOOKUP(VALUE(LEFT(P442,3)),料號對照!$A:$B,2,0),IFERROR(VLOOKUP(VALUE(LEFT(P442,1)),料號對照!$A:$B,2,0),""))</f>
      </c>
      <c r="T442">
        <f>=IFERROR(VLOOKUP(VALUE(LEFT(S442,3)),料號對照!$A:$B,2,0),IFERROR(VLOOKUP(VALUE(LEFT(S442,1)),料號對照!$A:$B,2,0),""))</f>
      </c>
    </row>
    <row r="443">
      <c r="N443">
        <f>=IFERROR(VLOOKUP(VALUE(LEFT(M443,3)),料號對照!$A:$B,2,0),IFERROR(VLOOKUP(VALUE(LEFT(M443,1)),料號對照!$A:$B,2,0),""))</f>
      </c>
      <c r="Q443">
        <f>=IFERROR(VLOOKUP(VALUE(LEFT(P443,3)),料號對照!$A:$B,2,0),IFERROR(VLOOKUP(VALUE(LEFT(P443,1)),料號對照!$A:$B,2,0),""))</f>
      </c>
      <c r="T443">
        <f>=IFERROR(VLOOKUP(VALUE(LEFT(S443,3)),料號對照!$A:$B,2,0),IFERROR(VLOOKUP(VALUE(LEFT(S443,1)),料號對照!$A:$B,2,0),""))</f>
      </c>
    </row>
    <row r="444">
      <c r="N444">
        <f>=IFERROR(VLOOKUP(VALUE(LEFT(M444,3)),料號對照!$A:$B,2,0),IFERROR(VLOOKUP(VALUE(LEFT(M444,1)),料號對照!$A:$B,2,0),""))</f>
      </c>
      <c r="Q444">
        <f>=IFERROR(VLOOKUP(VALUE(LEFT(P444,3)),料號對照!$A:$B,2,0),IFERROR(VLOOKUP(VALUE(LEFT(P444,1)),料號對照!$A:$B,2,0),""))</f>
      </c>
      <c r="T444">
        <f>=IFERROR(VLOOKUP(VALUE(LEFT(S444,3)),料號對照!$A:$B,2,0),IFERROR(VLOOKUP(VALUE(LEFT(S444,1)),料號對照!$A:$B,2,0),""))</f>
      </c>
    </row>
    <row r="445">
      <c r="N445">
        <f>=IFERROR(VLOOKUP(VALUE(LEFT(M445,3)),料號對照!$A:$B,2,0),IFERROR(VLOOKUP(VALUE(LEFT(M445,1)),料號對照!$A:$B,2,0),""))</f>
      </c>
      <c r="Q445">
        <f>=IFERROR(VLOOKUP(VALUE(LEFT(P445,3)),料號對照!$A:$B,2,0),IFERROR(VLOOKUP(VALUE(LEFT(P445,1)),料號對照!$A:$B,2,0),""))</f>
      </c>
      <c r="T445">
        <f>=IFERROR(VLOOKUP(VALUE(LEFT(S445,3)),料號對照!$A:$B,2,0),IFERROR(VLOOKUP(VALUE(LEFT(S445,1)),料號對照!$A:$B,2,0),""))</f>
      </c>
    </row>
    <row r="446">
      <c r="N446">
        <f>=IFERROR(VLOOKUP(VALUE(LEFT(M446,3)),料號對照!$A:$B,2,0),IFERROR(VLOOKUP(VALUE(LEFT(M446,1)),料號對照!$A:$B,2,0),""))</f>
      </c>
      <c r="Q446">
        <f>=IFERROR(VLOOKUP(VALUE(LEFT(P446,3)),料號對照!$A:$B,2,0),IFERROR(VLOOKUP(VALUE(LEFT(P446,1)),料號對照!$A:$B,2,0),""))</f>
      </c>
      <c r="T446">
        <f>=IFERROR(VLOOKUP(VALUE(LEFT(S446,3)),料號對照!$A:$B,2,0),IFERROR(VLOOKUP(VALUE(LEFT(S446,1)),料號對照!$A:$B,2,0),""))</f>
      </c>
    </row>
    <row r="447">
      <c r="N447">
        <f>=IFERROR(VLOOKUP(VALUE(LEFT(M447,3)),料號對照!$A:$B,2,0),IFERROR(VLOOKUP(VALUE(LEFT(M447,1)),料號對照!$A:$B,2,0),""))</f>
      </c>
      <c r="Q447">
        <f>=IFERROR(VLOOKUP(VALUE(LEFT(P447,3)),料號對照!$A:$B,2,0),IFERROR(VLOOKUP(VALUE(LEFT(P447,1)),料號對照!$A:$B,2,0),""))</f>
      </c>
      <c r="T447">
        <f>=IFERROR(VLOOKUP(VALUE(LEFT(S447,3)),料號對照!$A:$B,2,0),IFERROR(VLOOKUP(VALUE(LEFT(S447,1)),料號對照!$A:$B,2,0),""))</f>
      </c>
    </row>
    <row r="448">
      <c r="N448">
        <f>=IFERROR(VLOOKUP(VALUE(LEFT(M448,3)),料號對照!$A:$B,2,0),IFERROR(VLOOKUP(VALUE(LEFT(M448,1)),料號對照!$A:$B,2,0),""))</f>
      </c>
      <c r="Q448">
        <f>=IFERROR(VLOOKUP(VALUE(LEFT(P448,3)),料號對照!$A:$B,2,0),IFERROR(VLOOKUP(VALUE(LEFT(P448,1)),料號對照!$A:$B,2,0),""))</f>
      </c>
      <c r="T448">
        <f>=IFERROR(VLOOKUP(VALUE(LEFT(S448,3)),料號對照!$A:$B,2,0),IFERROR(VLOOKUP(VALUE(LEFT(S448,1)),料號對照!$A:$B,2,0),""))</f>
      </c>
    </row>
    <row r="449">
      <c r="N449">
        <f>=IFERROR(VLOOKUP(VALUE(LEFT(M449,3)),料號對照!$A:$B,2,0),IFERROR(VLOOKUP(VALUE(LEFT(M449,1)),料號對照!$A:$B,2,0),""))</f>
      </c>
      <c r="Q449">
        <f>=IFERROR(VLOOKUP(VALUE(LEFT(P449,3)),料號對照!$A:$B,2,0),IFERROR(VLOOKUP(VALUE(LEFT(P449,1)),料號對照!$A:$B,2,0),""))</f>
      </c>
      <c r="T449">
        <f>=IFERROR(VLOOKUP(VALUE(LEFT(S449,3)),料號對照!$A:$B,2,0),IFERROR(VLOOKUP(VALUE(LEFT(S449,1)),料號對照!$A:$B,2,0),""))</f>
      </c>
    </row>
    <row r="450">
      <c r="N450">
        <f>=IFERROR(VLOOKUP(VALUE(LEFT(M450,3)),料號對照!$A:$B,2,0),IFERROR(VLOOKUP(VALUE(LEFT(M450,1)),料號對照!$A:$B,2,0),""))</f>
      </c>
      <c r="Q450">
        <f>=IFERROR(VLOOKUP(VALUE(LEFT(P450,3)),料號對照!$A:$B,2,0),IFERROR(VLOOKUP(VALUE(LEFT(P450,1)),料號對照!$A:$B,2,0),""))</f>
      </c>
      <c r="T450">
        <f>=IFERROR(VLOOKUP(VALUE(LEFT(S450,3)),料號對照!$A:$B,2,0),IFERROR(VLOOKUP(VALUE(LEFT(S450,1)),料號對照!$A:$B,2,0),""))</f>
      </c>
    </row>
    <row r="451">
      <c r="N451">
        <f>=IFERROR(VLOOKUP(VALUE(LEFT(M451,3)),料號對照!$A:$B,2,0),IFERROR(VLOOKUP(VALUE(LEFT(M451,1)),料號對照!$A:$B,2,0),""))</f>
      </c>
      <c r="Q451">
        <f>=IFERROR(VLOOKUP(VALUE(LEFT(P451,3)),料號對照!$A:$B,2,0),IFERROR(VLOOKUP(VALUE(LEFT(P451,1)),料號對照!$A:$B,2,0),""))</f>
      </c>
      <c r="T451">
        <f>=IFERROR(VLOOKUP(VALUE(LEFT(S451,3)),料號對照!$A:$B,2,0),IFERROR(VLOOKUP(VALUE(LEFT(S451,1)),料號對照!$A:$B,2,0),""))</f>
      </c>
    </row>
    <row r="452">
      <c r="N452">
        <f>=IFERROR(VLOOKUP(VALUE(LEFT(M452,3)),料號對照!$A:$B,2,0),IFERROR(VLOOKUP(VALUE(LEFT(M452,1)),料號對照!$A:$B,2,0),""))</f>
      </c>
      <c r="Q452">
        <f>=IFERROR(VLOOKUP(VALUE(LEFT(P452,3)),料號對照!$A:$B,2,0),IFERROR(VLOOKUP(VALUE(LEFT(P452,1)),料號對照!$A:$B,2,0),""))</f>
      </c>
      <c r="T452">
        <f>=IFERROR(VLOOKUP(VALUE(LEFT(S452,3)),料號對照!$A:$B,2,0),IFERROR(VLOOKUP(VALUE(LEFT(S452,1)),料號對照!$A:$B,2,0),""))</f>
      </c>
    </row>
    <row r="453">
      <c r="N453">
        <f>=IFERROR(VLOOKUP(VALUE(LEFT(M453,3)),料號對照!$A:$B,2,0),IFERROR(VLOOKUP(VALUE(LEFT(M453,1)),料號對照!$A:$B,2,0),""))</f>
      </c>
      <c r="Q453">
        <f>=IFERROR(VLOOKUP(VALUE(LEFT(P453,3)),料號對照!$A:$B,2,0),IFERROR(VLOOKUP(VALUE(LEFT(P453,1)),料號對照!$A:$B,2,0),""))</f>
      </c>
      <c r="T453">
        <f>=IFERROR(VLOOKUP(VALUE(LEFT(S453,3)),料號對照!$A:$B,2,0),IFERROR(VLOOKUP(VALUE(LEFT(S453,1)),料號對照!$A:$B,2,0),""))</f>
      </c>
    </row>
    <row r="454">
      <c r="N454">
        <f>=IFERROR(VLOOKUP(VALUE(LEFT(M454,3)),料號對照!$A:$B,2,0),IFERROR(VLOOKUP(VALUE(LEFT(M454,1)),料號對照!$A:$B,2,0),""))</f>
      </c>
      <c r="Q454">
        <f>=IFERROR(VLOOKUP(VALUE(LEFT(P454,3)),料號對照!$A:$B,2,0),IFERROR(VLOOKUP(VALUE(LEFT(P454,1)),料號對照!$A:$B,2,0),""))</f>
      </c>
      <c r="T454">
        <f>=IFERROR(VLOOKUP(VALUE(LEFT(S454,3)),料號對照!$A:$B,2,0),IFERROR(VLOOKUP(VALUE(LEFT(S454,1)),料號對照!$A:$B,2,0),""))</f>
      </c>
    </row>
    <row r="455">
      <c r="N455">
        <f>=IFERROR(VLOOKUP(VALUE(LEFT(M455,3)),料號對照!$A:$B,2,0),IFERROR(VLOOKUP(VALUE(LEFT(M455,1)),料號對照!$A:$B,2,0),""))</f>
      </c>
      <c r="Q455">
        <f>=IFERROR(VLOOKUP(VALUE(LEFT(P455,3)),料號對照!$A:$B,2,0),IFERROR(VLOOKUP(VALUE(LEFT(P455,1)),料號對照!$A:$B,2,0),""))</f>
      </c>
      <c r="T455">
        <f>=IFERROR(VLOOKUP(VALUE(LEFT(S455,3)),料號對照!$A:$B,2,0),IFERROR(VLOOKUP(VALUE(LEFT(S455,1)),料號對照!$A:$B,2,0),""))</f>
      </c>
    </row>
    <row r="456">
      <c r="N456">
        <f>=IFERROR(VLOOKUP(VALUE(LEFT(M456,3)),料號對照!$A:$B,2,0),IFERROR(VLOOKUP(VALUE(LEFT(M456,1)),料號對照!$A:$B,2,0),""))</f>
      </c>
      <c r="Q456">
        <f>=IFERROR(VLOOKUP(VALUE(LEFT(P456,3)),料號對照!$A:$B,2,0),IFERROR(VLOOKUP(VALUE(LEFT(P456,1)),料號對照!$A:$B,2,0),""))</f>
      </c>
      <c r="T456">
        <f>=IFERROR(VLOOKUP(VALUE(LEFT(S456,3)),料號對照!$A:$B,2,0),IFERROR(VLOOKUP(VALUE(LEFT(S456,1)),料號對照!$A:$B,2,0),""))</f>
      </c>
    </row>
    <row r="457">
      <c r="N457">
        <f>=IFERROR(VLOOKUP(VALUE(LEFT(M457,3)),料號對照!$A:$B,2,0),IFERROR(VLOOKUP(VALUE(LEFT(M457,1)),料號對照!$A:$B,2,0),""))</f>
      </c>
      <c r="Q457">
        <f>=IFERROR(VLOOKUP(VALUE(LEFT(P457,3)),料號對照!$A:$B,2,0),IFERROR(VLOOKUP(VALUE(LEFT(P457,1)),料號對照!$A:$B,2,0),""))</f>
      </c>
      <c r="T457">
        <f>=IFERROR(VLOOKUP(VALUE(LEFT(S457,3)),料號對照!$A:$B,2,0),IFERROR(VLOOKUP(VALUE(LEFT(S457,1)),料號對照!$A:$B,2,0),""))</f>
      </c>
    </row>
    <row r="458">
      <c r="N458">
        <f>=IFERROR(VLOOKUP(VALUE(LEFT(M458,3)),料號對照!$A:$B,2,0),IFERROR(VLOOKUP(VALUE(LEFT(M458,1)),料號對照!$A:$B,2,0),""))</f>
      </c>
      <c r="Q458">
        <f>=IFERROR(VLOOKUP(VALUE(LEFT(P458,3)),料號對照!$A:$B,2,0),IFERROR(VLOOKUP(VALUE(LEFT(P458,1)),料號對照!$A:$B,2,0),""))</f>
      </c>
      <c r="T458">
        <f>=IFERROR(VLOOKUP(VALUE(LEFT(S458,3)),料號對照!$A:$B,2,0),IFERROR(VLOOKUP(VALUE(LEFT(S458,1)),料號對照!$A:$B,2,0),""))</f>
      </c>
    </row>
    <row r="459">
      <c r="N459">
        <f>=IFERROR(VLOOKUP(VALUE(LEFT(M459,3)),料號對照!$A:$B,2,0),IFERROR(VLOOKUP(VALUE(LEFT(M459,1)),料號對照!$A:$B,2,0),""))</f>
      </c>
      <c r="Q459">
        <f>=IFERROR(VLOOKUP(VALUE(LEFT(P459,3)),料號對照!$A:$B,2,0),IFERROR(VLOOKUP(VALUE(LEFT(P459,1)),料號對照!$A:$B,2,0),""))</f>
      </c>
      <c r="T459">
        <f>=IFERROR(VLOOKUP(VALUE(LEFT(S459,3)),料號對照!$A:$B,2,0),IFERROR(VLOOKUP(VALUE(LEFT(S459,1)),料號對照!$A:$B,2,0),""))</f>
      </c>
    </row>
    <row r="460">
      <c r="N460">
        <f>=IFERROR(VLOOKUP(VALUE(LEFT(M460,3)),料號對照!$A:$B,2,0),IFERROR(VLOOKUP(VALUE(LEFT(M460,1)),料號對照!$A:$B,2,0),""))</f>
      </c>
      <c r="Q460">
        <f>=IFERROR(VLOOKUP(VALUE(LEFT(P460,3)),料號對照!$A:$B,2,0),IFERROR(VLOOKUP(VALUE(LEFT(P460,1)),料號對照!$A:$B,2,0),""))</f>
      </c>
      <c r="T460">
        <f>=IFERROR(VLOOKUP(VALUE(LEFT(S460,3)),料號對照!$A:$B,2,0),IFERROR(VLOOKUP(VALUE(LEFT(S460,1)),料號對照!$A:$B,2,0),""))</f>
      </c>
    </row>
    <row r="461">
      <c r="N461">
        <f>=IFERROR(VLOOKUP(VALUE(LEFT(M461,3)),料號對照!$A:$B,2,0),IFERROR(VLOOKUP(VALUE(LEFT(M461,1)),料號對照!$A:$B,2,0),""))</f>
      </c>
      <c r="Q461">
        <f>=IFERROR(VLOOKUP(VALUE(LEFT(P461,3)),料號對照!$A:$B,2,0),IFERROR(VLOOKUP(VALUE(LEFT(P461,1)),料號對照!$A:$B,2,0),""))</f>
      </c>
      <c r="T461">
        <f>=IFERROR(VLOOKUP(VALUE(LEFT(S461,3)),料號對照!$A:$B,2,0),IFERROR(VLOOKUP(VALUE(LEFT(S461,1)),料號對照!$A:$B,2,0),""))</f>
      </c>
    </row>
    <row r="462">
      <c r="N462">
        <f>=IFERROR(VLOOKUP(VALUE(LEFT(M462,3)),料號對照!$A:$B,2,0),IFERROR(VLOOKUP(VALUE(LEFT(M462,1)),料號對照!$A:$B,2,0),""))</f>
      </c>
      <c r="Q462">
        <f>=IFERROR(VLOOKUP(VALUE(LEFT(P462,3)),料號對照!$A:$B,2,0),IFERROR(VLOOKUP(VALUE(LEFT(P462,1)),料號對照!$A:$B,2,0),""))</f>
      </c>
      <c r="T462">
        <f>=IFERROR(VLOOKUP(VALUE(LEFT(S462,3)),料號對照!$A:$B,2,0),IFERROR(VLOOKUP(VALUE(LEFT(S462,1)),料號對照!$A:$B,2,0),""))</f>
      </c>
    </row>
    <row r="463">
      <c r="N463">
        <f>=IFERROR(VLOOKUP(VALUE(LEFT(M463,3)),料號對照!$A:$B,2,0),IFERROR(VLOOKUP(VALUE(LEFT(M463,1)),料號對照!$A:$B,2,0),""))</f>
      </c>
      <c r="Q463">
        <f>=IFERROR(VLOOKUP(VALUE(LEFT(P463,3)),料號對照!$A:$B,2,0),IFERROR(VLOOKUP(VALUE(LEFT(P463,1)),料號對照!$A:$B,2,0),""))</f>
      </c>
      <c r="T463">
        <f>=IFERROR(VLOOKUP(VALUE(LEFT(S463,3)),料號對照!$A:$B,2,0),IFERROR(VLOOKUP(VALUE(LEFT(S463,1)),料號對照!$A:$B,2,0),""))</f>
      </c>
    </row>
    <row r="464">
      <c r="N464">
        <f>=IFERROR(VLOOKUP(VALUE(LEFT(M464,3)),料號對照!$A:$B,2,0),IFERROR(VLOOKUP(VALUE(LEFT(M464,1)),料號對照!$A:$B,2,0),""))</f>
      </c>
      <c r="Q464">
        <f>=IFERROR(VLOOKUP(VALUE(LEFT(P464,3)),料號對照!$A:$B,2,0),IFERROR(VLOOKUP(VALUE(LEFT(P464,1)),料號對照!$A:$B,2,0),""))</f>
      </c>
      <c r="T464">
        <f>=IFERROR(VLOOKUP(VALUE(LEFT(S464,3)),料號對照!$A:$B,2,0),IFERROR(VLOOKUP(VALUE(LEFT(S464,1)),料號對照!$A:$B,2,0),""))</f>
      </c>
    </row>
    <row r="465">
      <c r="N465">
        <f>=IFERROR(VLOOKUP(VALUE(LEFT(M465,3)),料號對照!$A:$B,2,0),IFERROR(VLOOKUP(VALUE(LEFT(M465,1)),料號對照!$A:$B,2,0),""))</f>
      </c>
      <c r="Q465">
        <f>=IFERROR(VLOOKUP(VALUE(LEFT(P465,3)),料號對照!$A:$B,2,0),IFERROR(VLOOKUP(VALUE(LEFT(P465,1)),料號對照!$A:$B,2,0),""))</f>
      </c>
      <c r="T465">
        <f>=IFERROR(VLOOKUP(VALUE(LEFT(S465,3)),料號對照!$A:$B,2,0),IFERROR(VLOOKUP(VALUE(LEFT(S465,1)),料號對照!$A:$B,2,0),""))</f>
      </c>
    </row>
    <row r="466">
      <c r="N466">
        <f>=IFERROR(VLOOKUP(VALUE(LEFT(M466,3)),料號對照!$A:$B,2,0),IFERROR(VLOOKUP(VALUE(LEFT(M466,1)),料號對照!$A:$B,2,0),""))</f>
      </c>
      <c r="Q466">
        <f>=IFERROR(VLOOKUP(VALUE(LEFT(P466,3)),料號對照!$A:$B,2,0),IFERROR(VLOOKUP(VALUE(LEFT(P466,1)),料號對照!$A:$B,2,0),""))</f>
      </c>
      <c r="T466">
        <f>=IFERROR(VLOOKUP(VALUE(LEFT(S466,3)),料號對照!$A:$B,2,0),IFERROR(VLOOKUP(VALUE(LEFT(S466,1)),料號對照!$A:$B,2,0),""))</f>
      </c>
    </row>
    <row r="467">
      <c r="N467">
        <f>=IFERROR(VLOOKUP(VALUE(LEFT(M467,3)),料號對照!$A:$B,2,0),IFERROR(VLOOKUP(VALUE(LEFT(M467,1)),料號對照!$A:$B,2,0),""))</f>
      </c>
      <c r="Q467">
        <f>=IFERROR(VLOOKUP(VALUE(LEFT(P467,3)),料號對照!$A:$B,2,0),IFERROR(VLOOKUP(VALUE(LEFT(P467,1)),料號對照!$A:$B,2,0),""))</f>
      </c>
      <c r="T467">
        <f>=IFERROR(VLOOKUP(VALUE(LEFT(S467,3)),料號對照!$A:$B,2,0),IFERROR(VLOOKUP(VALUE(LEFT(S467,1)),料號對照!$A:$B,2,0),""))</f>
      </c>
    </row>
    <row r="468">
      <c r="N468">
        <f>=IFERROR(VLOOKUP(VALUE(LEFT(M468,3)),料號對照!$A:$B,2,0),IFERROR(VLOOKUP(VALUE(LEFT(M468,1)),料號對照!$A:$B,2,0),""))</f>
      </c>
      <c r="Q468">
        <f>=IFERROR(VLOOKUP(VALUE(LEFT(P468,3)),料號對照!$A:$B,2,0),IFERROR(VLOOKUP(VALUE(LEFT(P468,1)),料號對照!$A:$B,2,0),""))</f>
      </c>
      <c r="T468">
        <f>=IFERROR(VLOOKUP(VALUE(LEFT(S468,3)),料號對照!$A:$B,2,0),IFERROR(VLOOKUP(VALUE(LEFT(S468,1)),料號對照!$A:$B,2,0),""))</f>
      </c>
    </row>
    <row r="469">
      <c r="N469">
        <f>=IFERROR(VLOOKUP(VALUE(LEFT(M469,3)),料號對照!$A:$B,2,0),IFERROR(VLOOKUP(VALUE(LEFT(M469,1)),料號對照!$A:$B,2,0),""))</f>
      </c>
      <c r="Q469">
        <f>=IFERROR(VLOOKUP(VALUE(LEFT(P469,3)),料號對照!$A:$B,2,0),IFERROR(VLOOKUP(VALUE(LEFT(P469,1)),料號對照!$A:$B,2,0),""))</f>
      </c>
      <c r="T469">
        <f>=IFERROR(VLOOKUP(VALUE(LEFT(S469,3)),料號對照!$A:$B,2,0),IFERROR(VLOOKUP(VALUE(LEFT(S469,1)),料號對照!$A:$B,2,0),""))</f>
      </c>
    </row>
    <row r="470">
      <c r="N470">
        <f>=IFERROR(VLOOKUP(VALUE(LEFT(M470,3)),料號對照!$A:$B,2,0),IFERROR(VLOOKUP(VALUE(LEFT(M470,1)),料號對照!$A:$B,2,0),""))</f>
      </c>
      <c r="Q470">
        <f>=IFERROR(VLOOKUP(VALUE(LEFT(P470,3)),料號對照!$A:$B,2,0),IFERROR(VLOOKUP(VALUE(LEFT(P470,1)),料號對照!$A:$B,2,0),""))</f>
      </c>
      <c r="T470">
        <f>=IFERROR(VLOOKUP(VALUE(LEFT(S470,3)),料號對照!$A:$B,2,0),IFERROR(VLOOKUP(VALUE(LEFT(S470,1)),料號對照!$A:$B,2,0),""))</f>
      </c>
    </row>
    <row r="471">
      <c r="N471">
        <f>=IFERROR(VLOOKUP(VALUE(LEFT(M471,3)),料號對照!$A:$B,2,0),IFERROR(VLOOKUP(VALUE(LEFT(M471,1)),料號對照!$A:$B,2,0),""))</f>
      </c>
      <c r="Q471">
        <f>=IFERROR(VLOOKUP(VALUE(LEFT(P471,3)),料號對照!$A:$B,2,0),IFERROR(VLOOKUP(VALUE(LEFT(P471,1)),料號對照!$A:$B,2,0),""))</f>
      </c>
      <c r="T471">
        <f>=IFERROR(VLOOKUP(VALUE(LEFT(S471,3)),料號對照!$A:$B,2,0),IFERROR(VLOOKUP(VALUE(LEFT(S471,1)),料號對照!$A:$B,2,0),""))</f>
      </c>
    </row>
    <row r="472">
      <c r="N472">
        <f>=IFERROR(VLOOKUP(VALUE(LEFT(M472,3)),料號對照!$A:$B,2,0),IFERROR(VLOOKUP(VALUE(LEFT(M472,1)),料號對照!$A:$B,2,0),""))</f>
      </c>
      <c r="Q472">
        <f>=IFERROR(VLOOKUP(VALUE(LEFT(P472,3)),料號對照!$A:$B,2,0),IFERROR(VLOOKUP(VALUE(LEFT(P472,1)),料號對照!$A:$B,2,0),""))</f>
      </c>
      <c r="T472">
        <f>=IFERROR(VLOOKUP(VALUE(LEFT(S472,3)),料號對照!$A:$B,2,0),IFERROR(VLOOKUP(VALUE(LEFT(S472,1)),料號對照!$A:$B,2,0),""))</f>
      </c>
    </row>
    <row r="473">
      <c r="N473">
        <f>=IFERROR(VLOOKUP(VALUE(LEFT(M473,3)),料號對照!$A:$B,2,0),IFERROR(VLOOKUP(VALUE(LEFT(M473,1)),料號對照!$A:$B,2,0),""))</f>
      </c>
      <c r="Q473">
        <f>=IFERROR(VLOOKUP(VALUE(LEFT(P473,3)),料號對照!$A:$B,2,0),IFERROR(VLOOKUP(VALUE(LEFT(P473,1)),料號對照!$A:$B,2,0),""))</f>
      </c>
      <c r="T473">
        <f>=IFERROR(VLOOKUP(VALUE(LEFT(S473,3)),料號對照!$A:$B,2,0),IFERROR(VLOOKUP(VALUE(LEFT(S473,1)),料號對照!$A:$B,2,0),""))</f>
      </c>
    </row>
    <row r="474">
      <c r="N474">
        <f>=IFERROR(VLOOKUP(VALUE(LEFT(M474,3)),料號對照!$A:$B,2,0),IFERROR(VLOOKUP(VALUE(LEFT(M474,1)),料號對照!$A:$B,2,0),""))</f>
      </c>
      <c r="Q474">
        <f>=IFERROR(VLOOKUP(VALUE(LEFT(P474,3)),料號對照!$A:$B,2,0),IFERROR(VLOOKUP(VALUE(LEFT(P474,1)),料號對照!$A:$B,2,0),""))</f>
      </c>
      <c r="T474">
        <f>=IFERROR(VLOOKUP(VALUE(LEFT(S474,3)),料號對照!$A:$B,2,0),IFERROR(VLOOKUP(VALUE(LEFT(S474,1)),料號對照!$A:$B,2,0),""))</f>
      </c>
    </row>
    <row r="475">
      <c r="N475">
        <f>=IFERROR(VLOOKUP(VALUE(LEFT(M475,3)),料號對照!$A:$B,2,0),IFERROR(VLOOKUP(VALUE(LEFT(M475,1)),料號對照!$A:$B,2,0),""))</f>
      </c>
      <c r="Q475">
        <f>=IFERROR(VLOOKUP(VALUE(LEFT(P475,3)),料號對照!$A:$B,2,0),IFERROR(VLOOKUP(VALUE(LEFT(P475,1)),料號對照!$A:$B,2,0),""))</f>
      </c>
      <c r="T475">
        <f>=IFERROR(VLOOKUP(VALUE(LEFT(S475,3)),料號對照!$A:$B,2,0),IFERROR(VLOOKUP(VALUE(LEFT(S475,1)),料號對照!$A:$B,2,0),""))</f>
      </c>
    </row>
    <row r="476">
      <c r="N476">
        <f>=IFERROR(VLOOKUP(VALUE(LEFT(M476,3)),料號對照!$A:$B,2,0),IFERROR(VLOOKUP(VALUE(LEFT(M476,1)),料號對照!$A:$B,2,0),""))</f>
      </c>
      <c r="Q476">
        <f>=IFERROR(VLOOKUP(VALUE(LEFT(P476,3)),料號對照!$A:$B,2,0),IFERROR(VLOOKUP(VALUE(LEFT(P476,1)),料號對照!$A:$B,2,0),""))</f>
      </c>
      <c r="T476">
        <f>=IFERROR(VLOOKUP(VALUE(LEFT(S476,3)),料號對照!$A:$B,2,0),IFERROR(VLOOKUP(VALUE(LEFT(S476,1)),料號對照!$A:$B,2,0),""))</f>
      </c>
    </row>
    <row r="477">
      <c r="N477">
        <f>=IFERROR(VLOOKUP(VALUE(LEFT(M477,3)),料號對照!$A:$B,2,0),IFERROR(VLOOKUP(VALUE(LEFT(M477,1)),料號對照!$A:$B,2,0),""))</f>
      </c>
      <c r="Q477">
        <f>=IFERROR(VLOOKUP(VALUE(LEFT(P477,3)),料號對照!$A:$B,2,0),IFERROR(VLOOKUP(VALUE(LEFT(P477,1)),料號對照!$A:$B,2,0),""))</f>
      </c>
      <c r="T477">
        <f>=IFERROR(VLOOKUP(VALUE(LEFT(S477,3)),料號對照!$A:$B,2,0),IFERROR(VLOOKUP(VALUE(LEFT(S477,1)),料號對照!$A:$B,2,0),""))</f>
      </c>
    </row>
    <row r="478">
      <c r="N478">
        <f>=IFERROR(VLOOKUP(VALUE(LEFT(M478,3)),料號對照!$A:$B,2,0),IFERROR(VLOOKUP(VALUE(LEFT(M478,1)),料號對照!$A:$B,2,0),""))</f>
      </c>
      <c r="Q478">
        <f>=IFERROR(VLOOKUP(VALUE(LEFT(P478,3)),料號對照!$A:$B,2,0),IFERROR(VLOOKUP(VALUE(LEFT(P478,1)),料號對照!$A:$B,2,0),""))</f>
      </c>
      <c r="T478">
        <f>=IFERROR(VLOOKUP(VALUE(LEFT(S478,3)),料號對照!$A:$B,2,0),IFERROR(VLOOKUP(VALUE(LEFT(S478,1)),料號對照!$A:$B,2,0),""))</f>
      </c>
    </row>
    <row r="479">
      <c r="N479">
        <f>=IFERROR(VLOOKUP(VALUE(LEFT(M479,3)),料號對照!$A:$B,2,0),IFERROR(VLOOKUP(VALUE(LEFT(M479,1)),料號對照!$A:$B,2,0),""))</f>
      </c>
      <c r="Q479">
        <f>=IFERROR(VLOOKUP(VALUE(LEFT(P479,3)),料號對照!$A:$B,2,0),IFERROR(VLOOKUP(VALUE(LEFT(P479,1)),料號對照!$A:$B,2,0),""))</f>
      </c>
      <c r="T479">
        <f>=IFERROR(VLOOKUP(VALUE(LEFT(S479,3)),料號對照!$A:$B,2,0),IFERROR(VLOOKUP(VALUE(LEFT(S479,1)),料號對照!$A:$B,2,0),""))</f>
      </c>
    </row>
    <row r="480">
      <c r="N480">
        <f>=IFERROR(VLOOKUP(VALUE(LEFT(M480,3)),料號對照!$A:$B,2,0),IFERROR(VLOOKUP(VALUE(LEFT(M480,1)),料號對照!$A:$B,2,0),""))</f>
      </c>
      <c r="Q480">
        <f>=IFERROR(VLOOKUP(VALUE(LEFT(P480,3)),料號對照!$A:$B,2,0),IFERROR(VLOOKUP(VALUE(LEFT(P480,1)),料號對照!$A:$B,2,0),""))</f>
      </c>
      <c r="T480">
        <f>=IFERROR(VLOOKUP(VALUE(LEFT(S480,3)),料號對照!$A:$B,2,0),IFERROR(VLOOKUP(VALUE(LEFT(S480,1)),料號對照!$A:$B,2,0),""))</f>
      </c>
    </row>
    <row r="481">
      <c r="N481">
        <f>=IFERROR(VLOOKUP(VALUE(LEFT(M481,3)),料號對照!$A:$B,2,0),IFERROR(VLOOKUP(VALUE(LEFT(M481,1)),料號對照!$A:$B,2,0),""))</f>
      </c>
      <c r="Q481">
        <f>=IFERROR(VLOOKUP(VALUE(LEFT(P481,3)),料號對照!$A:$B,2,0),IFERROR(VLOOKUP(VALUE(LEFT(P481,1)),料號對照!$A:$B,2,0),""))</f>
      </c>
      <c r="T481">
        <f>=IFERROR(VLOOKUP(VALUE(LEFT(S481,3)),料號對照!$A:$B,2,0),IFERROR(VLOOKUP(VALUE(LEFT(S481,1)),料號對照!$A:$B,2,0),""))</f>
      </c>
    </row>
    <row r="482">
      <c r="N482">
        <f>=IFERROR(VLOOKUP(VALUE(LEFT(M482,3)),料號對照!$A:$B,2,0),IFERROR(VLOOKUP(VALUE(LEFT(M482,1)),料號對照!$A:$B,2,0),""))</f>
      </c>
      <c r="Q482">
        <f>=IFERROR(VLOOKUP(VALUE(LEFT(P482,3)),料號對照!$A:$B,2,0),IFERROR(VLOOKUP(VALUE(LEFT(P482,1)),料號對照!$A:$B,2,0),""))</f>
      </c>
      <c r="T482">
        <f>=IFERROR(VLOOKUP(VALUE(LEFT(S482,3)),料號對照!$A:$B,2,0),IFERROR(VLOOKUP(VALUE(LEFT(S482,1)),料號對照!$A:$B,2,0),""))</f>
      </c>
    </row>
    <row r="483">
      <c r="N483">
        <f>=IFERROR(VLOOKUP(VALUE(LEFT(M483,3)),料號對照!$A:$B,2,0),IFERROR(VLOOKUP(VALUE(LEFT(M483,1)),料號對照!$A:$B,2,0),""))</f>
      </c>
      <c r="Q483">
        <f>=IFERROR(VLOOKUP(VALUE(LEFT(P483,3)),料號對照!$A:$B,2,0),IFERROR(VLOOKUP(VALUE(LEFT(P483,1)),料號對照!$A:$B,2,0),""))</f>
      </c>
      <c r="T483">
        <f>=IFERROR(VLOOKUP(VALUE(LEFT(S483,3)),料號對照!$A:$B,2,0),IFERROR(VLOOKUP(VALUE(LEFT(S483,1)),料號對照!$A:$B,2,0),""))</f>
      </c>
    </row>
    <row r="484">
      <c r="N484">
        <f>=IFERROR(VLOOKUP(VALUE(LEFT(M484,3)),料號對照!$A:$B,2,0),IFERROR(VLOOKUP(VALUE(LEFT(M484,1)),料號對照!$A:$B,2,0),""))</f>
      </c>
      <c r="Q484">
        <f>=IFERROR(VLOOKUP(VALUE(LEFT(P484,3)),料號對照!$A:$B,2,0),IFERROR(VLOOKUP(VALUE(LEFT(P484,1)),料號對照!$A:$B,2,0),""))</f>
      </c>
      <c r="T484">
        <f>=IFERROR(VLOOKUP(VALUE(LEFT(S484,3)),料號對照!$A:$B,2,0),IFERROR(VLOOKUP(VALUE(LEFT(S484,1)),料號對照!$A:$B,2,0),""))</f>
      </c>
    </row>
    <row r="485">
      <c r="N485">
        <f>=IFERROR(VLOOKUP(VALUE(LEFT(M485,3)),料號對照!$A:$B,2,0),IFERROR(VLOOKUP(VALUE(LEFT(M485,1)),料號對照!$A:$B,2,0),""))</f>
      </c>
      <c r="Q485">
        <f>=IFERROR(VLOOKUP(VALUE(LEFT(P485,3)),料號對照!$A:$B,2,0),IFERROR(VLOOKUP(VALUE(LEFT(P485,1)),料號對照!$A:$B,2,0),""))</f>
      </c>
      <c r="T485">
        <f>=IFERROR(VLOOKUP(VALUE(LEFT(S485,3)),料號對照!$A:$B,2,0),IFERROR(VLOOKUP(VALUE(LEFT(S485,1)),料號對照!$A:$B,2,0),""))</f>
      </c>
    </row>
    <row r="486">
      <c r="N486">
        <f>=IFERROR(VLOOKUP(VALUE(LEFT(M486,3)),料號對照!$A:$B,2,0),IFERROR(VLOOKUP(VALUE(LEFT(M486,1)),料號對照!$A:$B,2,0),""))</f>
      </c>
      <c r="Q486">
        <f>=IFERROR(VLOOKUP(VALUE(LEFT(P486,3)),料號對照!$A:$B,2,0),IFERROR(VLOOKUP(VALUE(LEFT(P486,1)),料號對照!$A:$B,2,0),""))</f>
      </c>
      <c r="T486">
        <f>=IFERROR(VLOOKUP(VALUE(LEFT(S486,3)),料號對照!$A:$B,2,0),IFERROR(VLOOKUP(VALUE(LEFT(S486,1)),料號對照!$A:$B,2,0),""))</f>
      </c>
    </row>
    <row r="487">
      <c r="N487">
        <f>=IFERROR(VLOOKUP(VALUE(LEFT(M487,3)),料號對照!$A:$B,2,0),IFERROR(VLOOKUP(VALUE(LEFT(M487,1)),料號對照!$A:$B,2,0),""))</f>
      </c>
      <c r="Q487">
        <f>=IFERROR(VLOOKUP(VALUE(LEFT(P487,3)),料號對照!$A:$B,2,0),IFERROR(VLOOKUP(VALUE(LEFT(P487,1)),料號對照!$A:$B,2,0),""))</f>
      </c>
      <c r="T487">
        <f>=IFERROR(VLOOKUP(VALUE(LEFT(S487,3)),料號對照!$A:$B,2,0),IFERROR(VLOOKUP(VALUE(LEFT(S487,1)),料號對照!$A:$B,2,0),""))</f>
      </c>
    </row>
    <row r="488">
      <c r="N488">
        <f>=IFERROR(VLOOKUP(VALUE(LEFT(M488,3)),料號對照!$A:$B,2,0),IFERROR(VLOOKUP(VALUE(LEFT(M488,1)),料號對照!$A:$B,2,0),""))</f>
      </c>
      <c r="Q488">
        <f>=IFERROR(VLOOKUP(VALUE(LEFT(P488,3)),料號對照!$A:$B,2,0),IFERROR(VLOOKUP(VALUE(LEFT(P488,1)),料號對照!$A:$B,2,0),""))</f>
      </c>
      <c r="T488">
        <f>=IFERROR(VLOOKUP(VALUE(LEFT(S488,3)),料號對照!$A:$B,2,0),IFERROR(VLOOKUP(VALUE(LEFT(S488,1)),料號對照!$A:$B,2,0),""))</f>
      </c>
    </row>
    <row r="489">
      <c r="N489">
        <f>=IFERROR(VLOOKUP(VALUE(LEFT(M489,3)),料號對照!$A:$B,2,0),IFERROR(VLOOKUP(VALUE(LEFT(M489,1)),料號對照!$A:$B,2,0),""))</f>
      </c>
      <c r="Q489">
        <f>=IFERROR(VLOOKUP(VALUE(LEFT(P489,3)),料號對照!$A:$B,2,0),IFERROR(VLOOKUP(VALUE(LEFT(P489,1)),料號對照!$A:$B,2,0),""))</f>
      </c>
      <c r="T489">
        <f>=IFERROR(VLOOKUP(VALUE(LEFT(S489,3)),料號對照!$A:$B,2,0),IFERROR(VLOOKUP(VALUE(LEFT(S489,1)),料號對照!$A:$B,2,0),""))</f>
      </c>
    </row>
    <row r="490">
      <c r="N490">
        <f>=IFERROR(VLOOKUP(VALUE(LEFT(M490,3)),料號對照!$A:$B,2,0),IFERROR(VLOOKUP(VALUE(LEFT(M490,1)),料號對照!$A:$B,2,0),""))</f>
      </c>
      <c r="Q490">
        <f>=IFERROR(VLOOKUP(VALUE(LEFT(P490,3)),料號對照!$A:$B,2,0),IFERROR(VLOOKUP(VALUE(LEFT(P490,1)),料號對照!$A:$B,2,0),""))</f>
      </c>
      <c r="T490">
        <f>=IFERROR(VLOOKUP(VALUE(LEFT(S490,3)),料號對照!$A:$B,2,0),IFERROR(VLOOKUP(VALUE(LEFT(S490,1)),料號對照!$A:$B,2,0),""))</f>
      </c>
    </row>
    <row r="491">
      <c r="N491">
        <f>=IFERROR(VLOOKUP(VALUE(LEFT(M491,3)),料號對照!$A:$B,2,0),IFERROR(VLOOKUP(VALUE(LEFT(M491,1)),料號對照!$A:$B,2,0),""))</f>
      </c>
      <c r="Q491">
        <f>=IFERROR(VLOOKUP(VALUE(LEFT(P491,3)),料號對照!$A:$B,2,0),IFERROR(VLOOKUP(VALUE(LEFT(P491,1)),料號對照!$A:$B,2,0),""))</f>
      </c>
      <c r="T491">
        <f>=IFERROR(VLOOKUP(VALUE(LEFT(S491,3)),料號對照!$A:$B,2,0),IFERROR(VLOOKUP(VALUE(LEFT(S491,1)),料號對照!$A:$B,2,0),""))</f>
      </c>
    </row>
    <row r="492">
      <c r="N492">
        <f>=IFERROR(VLOOKUP(VALUE(LEFT(M492,3)),料號對照!$A:$B,2,0),IFERROR(VLOOKUP(VALUE(LEFT(M492,1)),料號對照!$A:$B,2,0),""))</f>
      </c>
      <c r="Q492">
        <f>=IFERROR(VLOOKUP(VALUE(LEFT(P492,3)),料號對照!$A:$B,2,0),IFERROR(VLOOKUP(VALUE(LEFT(P492,1)),料號對照!$A:$B,2,0),""))</f>
      </c>
      <c r="T492">
        <f>=IFERROR(VLOOKUP(VALUE(LEFT(S492,3)),料號對照!$A:$B,2,0),IFERROR(VLOOKUP(VALUE(LEFT(S492,1)),料號對照!$A:$B,2,0),""))</f>
      </c>
    </row>
    <row r="493">
      <c r="N493">
        <f>=IFERROR(VLOOKUP(VALUE(LEFT(M493,3)),料號對照!$A:$B,2,0),IFERROR(VLOOKUP(VALUE(LEFT(M493,1)),料號對照!$A:$B,2,0),""))</f>
      </c>
      <c r="Q493">
        <f>=IFERROR(VLOOKUP(VALUE(LEFT(P493,3)),料號對照!$A:$B,2,0),IFERROR(VLOOKUP(VALUE(LEFT(P493,1)),料號對照!$A:$B,2,0),""))</f>
      </c>
      <c r="T493">
        <f>=IFERROR(VLOOKUP(VALUE(LEFT(S493,3)),料號對照!$A:$B,2,0),IFERROR(VLOOKUP(VALUE(LEFT(S493,1)),料號對照!$A:$B,2,0),""))</f>
      </c>
    </row>
    <row r="494">
      <c r="N494">
        <f>=IFERROR(VLOOKUP(VALUE(LEFT(M494,3)),料號對照!$A:$B,2,0),IFERROR(VLOOKUP(VALUE(LEFT(M494,1)),料號對照!$A:$B,2,0),""))</f>
      </c>
      <c r="Q494">
        <f>=IFERROR(VLOOKUP(VALUE(LEFT(P494,3)),料號對照!$A:$B,2,0),IFERROR(VLOOKUP(VALUE(LEFT(P494,1)),料號對照!$A:$B,2,0),""))</f>
      </c>
      <c r="T494">
        <f>=IFERROR(VLOOKUP(VALUE(LEFT(S494,3)),料號對照!$A:$B,2,0),IFERROR(VLOOKUP(VALUE(LEFT(S494,1)),料號對照!$A:$B,2,0),""))</f>
      </c>
    </row>
    <row r="495">
      <c r="N495">
        <f>=IFERROR(VLOOKUP(VALUE(LEFT(M495,3)),料號對照!$A:$B,2,0),IFERROR(VLOOKUP(VALUE(LEFT(M495,1)),料號對照!$A:$B,2,0),""))</f>
      </c>
      <c r="Q495">
        <f>=IFERROR(VLOOKUP(VALUE(LEFT(P495,3)),料號對照!$A:$B,2,0),IFERROR(VLOOKUP(VALUE(LEFT(P495,1)),料號對照!$A:$B,2,0),""))</f>
      </c>
      <c r="T495">
        <f>=IFERROR(VLOOKUP(VALUE(LEFT(S495,3)),料號對照!$A:$B,2,0),IFERROR(VLOOKUP(VALUE(LEFT(S495,1)),料號對照!$A:$B,2,0),""))</f>
      </c>
    </row>
    <row r="496">
      <c r="N496">
        <f>=IFERROR(VLOOKUP(VALUE(LEFT(M496,3)),料號對照!$A:$B,2,0),IFERROR(VLOOKUP(VALUE(LEFT(M496,1)),料號對照!$A:$B,2,0),""))</f>
      </c>
      <c r="Q496">
        <f>=IFERROR(VLOOKUP(VALUE(LEFT(P496,3)),料號對照!$A:$B,2,0),IFERROR(VLOOKUP(VALUE(LEFT(P496,1)),料號對照!$A:$B,2,0),""))</f>
      </c>
      <c r="T496">
        <f>=IFERROR(VLOOKUP(VALUE(LEFT(S496,3)),料號對照!$A:$B,2,0),IFERROR(VLOOKUP(VALUE(LEFT(S496,1)),料號對照!$A:$B,2,0),""))</f>
      </c>
    </row>
    <row r="497">
      <c r="N497">
        <f>=IFERROR(VLOOKUP(VALUE(LEFT(M497,3)),料號對照!$A:$B,2,0),IFERROR(VLOOKUP(VALUE(LEFT(M497,1)),料號對照!$A:$B,2,0),""))</f>
      </c>
      <c r="Q497">
        <f>=IFERROR(VLOOKUP(VALUE(LEFT(P497,3)),料號對照!$A:$B,2,0),IFERROR(VLOOKUP(VALUE(LEFT(P497,1)),料號對照!$A:$B,2,0),""))</f>
      </c>
      <c r="T497">
        <f>=IFERROR(VLOOKUP(VALUE(LEFT(S497,3)),料號對照!$A:$B,2,0),IFERROR(VLOOKUP(VALUE(LEFT(S497,1)),料號對照!$A:$B,2,0),""))</f>
      </c>
    </row>
    <row r="498">
      <c r="N498">
        <f>=IFERROR(VLOOKUP(VALUE(LEFT(M498,3)),料號對照!$A:$B,2,0),IFERROR(VLOOKUP(VALUE(LEFT(M498,1)),料號對照!$A:$B,2,0),""))</f>
      </c>
      <c r="Q498">
        <f>=IFERROR(VLOOKUP(VALUE(LEFT(P498,3)),料號對照!$A:$B,2,0),IFERROR(VLOOKUP(VALUE(LEFT(P498,1)),料號對照!$A:$B,2,0),""))</f>
      </c>
      <c r="T498">
        <f>=IFERROR(VLOOKUP(VALUE(LEFT(S498,3)),料號對照!$A:$B,2,0),IFERROR(VLOOKUP(VALUE(LEFT(S498,1)),料號對照!$A:$B,2,0),""))</f>
      </c>
    </row>
    <row r="499">
      <c r="N499">
        <f>=IFERROR(VLOOKUP(VALUE(LEFT(M499,3)),料號對照!$A:$B,2,0),IFERROR(VLOOKUP(VALUE(LEFT(M499,1)),料號對照!$A:$B,2,0),""))</f>
      </c>
      <c r="Q499">
        <f>=IFERROR(VLOOKUP(VALUE(LEFT(P499,3)),料號對照!$A:$B,2,0),IFERROR(VLOOKUP(VALUE(LEFT(P499,1)),料號對照!$A:$B,2,0),""))</f>
      </c>
      <c r="T499">
        <f>=IFERROR(VLOOKUP(VALUE(LEFT(S499,3)),料號對照!$A:$B,2,0),IFERROR(VLOOKUP(VALUE(LEFT(S499,1)),料號對照!$A:$B,2,0),""))</f>
      </c>
    </row>
    <row r="500">
      <c r="N500">
        <f>=IFERROR(VLOOKUP(VALUE(LEFT(M500,3)),料號對照!$A:$B,2,0),IFERROR(VLOOKUP(VALUE(LEFT(M500,1)),料號對照!$A:$B,2,0),""))</f>
      </c>
      <c r="Q500">
        <f>=IFERROR(VLOOKUP(VALUE(LEFT(P500,3)),料號對照!$A:$B,2,0),IFERROR(VLOOKUP(VALUE(LEFT(P500,1)),料號對照!$A:$B,2,0),""))</f>
      </c>
      <c r="T500">
        <f>=IFERROR(VLOOKUP(VALUE(LEFT(S500,3)),料號對照!$A:$B,2,0),IFERROR(VLOOKUP(VALUE(LEFT(S500,1)),料號對照!$A:$B,2,0),""))</f>
      </c>
    </row>
    <row r="501">
      <c r="N501">
        <f>=IFERROR(VLOOKUP(VALUE(LEFT(M501,3)),料號對照!$A:$B,2,0),IFERROR(VLOOKUP(VALUE(LEFT(M501,1)),料號對照!$A:$B,2,0),""))</f>
      </c>
      <c r="Q501">
        <f>=IFERROR(VLOOKUP(VALUE(LEFT(P501,3)),料號對照!$A:$B,2,0),IFERROR(VLOOKUP(VALUE(LEFT(P501,1)),料號對照!$A:$B,2,0),""))</f>
      </c>
      <c r="T501">
        <f>=IFERROR(VLOOKUP(VALUE(LEFT(S501,3)),料號對照!$A:$B,2,0),IFERROR(VLOOKUP(VALUE(LEFT(S501,1)),料號對照!$A:$B,2,0),""))</f>
      </c>
    </row>
    <row r="502">
      <c r="N502">
        <f>=IFERROR(VLOOKUP(VALUE(LEFT(M502,3)),料號對照!$A:$B,2,0),IFERROR(VLOOKUP(VALUE(LEFT(M502,1)),料號對照!$A:$B,2,0),""))</f>
      </c>
      <c r="Q502">
        <f>=IFERROR(VLOOKUP(VALUE(LEFT(P502,3)),料號對照!$A:$B,2,0),IFERROR(VLOOKUP(VALUE(LEFT(P502,1)),料號對照!$A:$B,2,0),""))</f>
      </c>
      <c r="T502">
        <f>=IFERROR(VLOOKUP(VALUE(LEFT(S502,3)),料號對照!$A:$B,2,0),IFERROR(VLOOKUP(VALUE(LEFT(S502,1)),料號對照!$A:$B,2,0),""))</f>
      </c>
    </row>
    <row r="503">
      <c r="N503">
        <f>=IFERROR(VLOOKUP(VALUE(LEFT(M503,3)),料號對照!$A:$B,2,0),IFERROR(VLOOKUP(VALUE(LEFT(M503,1)),料號對照!$A:$B,2,0),""))</f>
      </c>
      <c r="Q503">
        <f>=IFERROR(VLOOKUP(VALUE(LEFT(P503,3)),料號對照!$A:$B,2,0),IFERROR(VLOOKUP(VALUE(LEFT(P503,1)),料號對照!$A:$B,2,0),""))</f>
      </c>
      <c r="T503">
        <f>=IFERROR(VLOOKUP(VALUE(LEFT(S503,3)),料號對照!$A:$B,2,0),IFERROR(VLOOKUP(VALUE(LEFT(S503,1)),料號對照!$A:$B,2,0),""))</f>
      </c>
    </row>
  </sheetData>
  <ignoredErrors>
    <ignoredError numberStoredAsText="1" sqref="A1:AB50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180"/>
  <sheetViews>
    <sheetView workbookViewId="0"/>
  </sheetViews>
  <cols>
    <col min="1" max="1" width="16.83203125" customWidth="1"/>
    <col min="2" max="2" width="14.83203125" customWidth="1"/>
    <col min="3" max="3" width="12.83203125" customWidth="1"/>
    <col min="4" max="4" width="12.83203125" customWidth="1"/>
    <col min="5" max="5" width="10.83203125" customWidth="1"/>
    <col min="6" max="6" width="10.83203125" customWidth="1"/>
  </cols>
  <sheetData>
    <row r="1">
      <c r="A1" t="str">
        <v>【本月彙總】公式自動計算，填寫資料後立即顯示 — 無需手動更新</v>
      </c>
    </row>
    <row r="3">
      <c r="A3" t="str">
        <v>本月維修總筆數</v>
      </c>
      <c r="B3">
        <f>COUNTA(維修記錄!$D$4:$D$503)</f>
      </c>
    </row>
    <row r="4">
      <c r="A4" t="str">
        <v>本月報廢件數</v>
      </c>
      <c r="B4">
        <f>COUNTIF(維修記錄!$W$4:$W$503,"Y")</f>
      </c>
    </row>
    <row r="5">
      <c r="A5" t="str">
        <v>報廢率</v>
      </c>
      <c r="B5">
        <f>IFERROR(COUNTIF(維修記錄!$W$4:$W$503,"Y")/COUNTA(維修記錄!$D$4:$D$503),"—")</f>
      </c>
    </row>
    <row r="6">
      <c r="A6" t="str">
        <v>NTF件數（無法重現）</v>
      </c>
      <c r="B6">
        <f>COUNTIF(維修記錄!$L$4:$L$503,"NTF*")</f>
      </c>
    </row>
    <row r="7">
      <c r="A7" t="str">
        <v>NTF比率</v>
      </c>
      <c r="B7">
        <f>IFERROR(COUNTIF(維修記錄!$L$4:$L$503,"NTF*")/COUNTA(維修記錄!$D$4:$D$503),"—")</f>
      </c>
    </row>
    <row r="9">
      <c r="A9" t="str">
        <v>▌ 各品號故障彙總</v>
      </c>
    </row>
    <row r="10">
      <c r="A10" t="str">
        <v>器材品號</v>
      </c>
      <c r="B10" t="str">
        <v>大類</v>
      </c>
      <c r="C10" t="str">
        <v>故障件數</v>
      </c>
      <c r="D10" t="str">
        <v>報廢件數</v>
      </c>
      <c r="E10" t="str">
        <v>報廢率</v>
      </c>
    </row>
    <row r="11">
      <c r="A11" t="str">
        <v>ADR3A08</v>
      </c>
      <c r="B11" t="str">
        <v>監視器</v>
      </c>
      <c r="C11">
        <f>COUNTIF(維修記錄!$C$4:$C$503,A11)</f>
      </c>
      <c r="D11">
        <f>COUNTIFS(維修記錄!$C$4:$C$503,A11,維修記錄!$W$4:$W$503,"Y")</f>
      </c>
      <c r="E11">
        <f>IFERROR(D11/C11,"")</f>
      </c>
    </row>
    <row r="12">
      <c r="A12" t="str">
        <v>ADR3A16</v>
      </c>
      <c r="B12" t="str">
        <v>監視器</v>
      </c>
      <c r="C12">
        <f>COUNTIF(維修記錄!$C$4:$C$503,A12)</f>
      </c>
      <c r="D12">
        <f>COUNTIFS(維修記錄!$C$4:$C$503,A12,維修記錄!$W$4:$W$503,"Y")</f>
      </c>
      <c r="E12">
        <f>IFERROR(D12/C12,"")</f>
      </c>
    </row>
    <row r="13">
      <c r="A13" t="str">
        <v>AH13A36</v>
      </c>
      <c r="B13" t="str">
        <v>監視器</v>
      </c>
      <c r="C13">
        <f>COUNTIF(維修記錄!$C$4:$C$503,A13)</f>
      </c>
      <c r="D13">
        <f>COUNTIFS(維修記錄!$C$4:$C$503,A13,維修記錄!$W$4:$W$503,"Y")</f>
      </c>
      <c r="E13">
        <f>IFERROR(D13/C13,"")</f>
      </c>
    </row>
    <row r="14">
      <c r="A14" t="str">
        <v>AH13B3Z</v>
      </c>
      <c r="B14" t="str">
        <v>監視器</v>
      </c>
      <c r="C14">
        <f>COUNTIF(維修記錄!$C$4:$C$503,A14)</f>
      </c>
      <c r="D14">
        <f>COUNTIFS(維修記錄!$C$4:$C$503,A14,維修記錄!$W$4:$W$503,"Y")</f>
      </c>
      <c r="E14">
        <f>IFERROR(D14/C14,"")</f>
      </c>
    </row>
    <row r="15">
      <c r="A15" t="str">
        <v>AH13C36</v>
      </c>
      <c r="B15" t="str">
        <v>監視器</v>
      </c>
      <c r="C15">
        <f>COUNTIF(維修記錄!$C$4:$C$503,A15)</f>
      </c>
      <c r="D15">
        <f>COUNTIFS(維修記錄!$C$4:$C$503,A15,維修記錄!$W$4:$W$503,"Y")</f>
      </c>
      <c r="E15">
        <f>IFERROR(D15/C15,"")</f>
      </c>
    </row>
    <row r="16">
      <c r="A16" t="str">
        <v>AH43B3Z</v>
      </c>
      <c r="B16" t="str">
        <v>監視器</v>
      </c>
      <c r="C16">
        <f>COUNTIF(維修記錄!$C$4:$C$503,A16)</f>
      </c>
      <c r="D16">
        <f>COUNTIFS(維修記錄!$C$4:$C$503,A16,維修記錄!$W$4:$W$503,"Y")</f>
      </c>
      <c r="E16">
        <f>IFERROR(D16/C16,"")</f>
      </c>
    </row>
    <row r="17">
      <c r="A17" t="str">
        <v>AH83A28</v>
      </c>
      <c r="B17" t="str">
        <v>監視器</v>
      </c>
      <c r="C17">
        <f>COUNTIF(維修記錄!$C$4:$C$503,A17)</f>
      </c>
      <c r="D17">
        <f>COUNTIFS(維修記錄!$C$4:$C$503,A17,維修記錄!$W$4:$W$503,"Y")</f>
      </c>
      <c r="E17">
        <f>IFERROR(D17/C17,"")</f>
      </c>
    </row>
    <row r="18">
      <c r="A18" t="str">
        <v>AH83B3Z</v>
      </c>
      <c r="B18" t="str">
        <v>監視器</v>
      </c>
      <c r="C18">
        <f>COUNTIF(維修記錄!$C$4:$C$503,A18)</f>
      </c>
      <c r="D18">
        <f>COUNTIFS(維修記錄!$C$4:$C$503,A18,維修記錄!$W$4:$W$503,"Y")</f>
      </c>
      <c r="E18">
        <f>IFERROR(D18/C18,"")</f>
      </c>
    </row>
    <row r="19">
      <c r="A19" t="str">
        <v>AH83D28</v>
      </c>
      <c r="B19" t="str">
        <v>監視器</v>
      </c>
      <c r="C19">
        <f>COUNTIF(維修記錄!$C$4:$C$503,A19)</f>
      </c>
      <c r="D19">
        <f>COUNTIFS(維修記錄!$C$4:$C$503,A19,維修記錄!$W$4:$W$503,"Y")</f>
      </c>
      <c r="E19">
        <f>IFERROR(D19/C19,"")</f>
      </c>
    </row>
    <row r="20">
      <c r="A20" t="str">
        <v>AH83D3Z</v>
      </c>
      <c r="B20" t="str">
        <v>監視器</v>
      </c>
      <c r="C20">
        <f>COUNTIF(維修記錄!$C$4:$C$503,A20)</f>
      </c>
      <c r="D20">
        <f>COUNTIFS(維修記錄!$C$4:$C$503,A20,維修記錄!$W$4:$W$503,"Y")</f>
      </c>
      <c r="E20">
        <f>IFERROR(D20/C20,"")</f>
      </c>
    </row>
    <row r="21">
      <c r="A21" t="str">
        <v>APCB</v>
      </c>
      <c r="B21" t="str">
        <v>監視器</v>
      </c>
      <c r="C21">
        <f>COUNTIF(維修記錄!$C$4:$C$503,A21)</f>
      </c>
      <c r="D21">
        <f>COUNTIFS(維修記錄!$C$4:$C$503,A21,維修記錄!$W$4:$W$503,"Y")</f>
      </c>
      <c r="E21">
        <f>IFERROR(D21/C21,"")</f>
      </c>
    </row>
    <row r="22">
      <c r="A22" t="str">
        <v>AW53B3Z</v>
      </c>
      <c r="B22" t="str">
        <v>監視器</v>
      </c>
      <c r="C22">
        <f>COUNTIF(維修記錄!$C$4:$C$503,A22)</f>
      </c>
      <c r="D22">
        <f>COUNTIFS(維修記錄!$C$4:$C$503,A22,維修記錄!$W$4:$W$503,"Y")</f>
      </c>
      <c r="E22">
        <f>IFERROR(D22/C22,"")</f>
      </c>
    </row>
    <row r="23">
      <c r="A23" t="str">
        <v>HU316PE</v>
      </c>
      <c r="B23" t="str">
        <v>監視器</v>
      </c>
      <c r="C23">
        <f>COUNTIF(維修記錄!$C$4:$C$503,A23)</f>
      </c>
      <c r="D23">
        <f>COUNTIFS(維修記錄!$C$4:$C$503,A23,維修記錄!$W$4:$W$503,"Y")</f>
      </c>
      <c r="E23">
        <f>IFERROR(D23/C23,"")</f>
      </c>
    </row>
    <row r="24">
      <c r="A24" t="str">
        <v>HU382PE</v>
      </c>
      <c r="B24" t="str">
        <v>監視器</v>
      </c>
      <c r="C24">
        <f>COUNTIF(維修記錄!$C$4:$C$503,A24)</f>
      </c>
      <c r="D24">
        <f>COUNTIFS(維修記錄!$C$4:$C$503,A24,維修記錄!$W$4:$W$503,"Y")</f>
      </c>
      <c r="E24">
        <f>IFERROR(D24/C24,"")</f>
      </c>
    </row>
    <row r="25">
      <c r="A25" t="str">
        <v>IP43A3Z</v>
      </c>
      <c r="B25" t="str">
        <v>監視器</v>
      </c>
      <c r="C25">
        <f>COUNTIF(維修記錄!$C$4:$C$503,A25)</f>
      </c>
      <c r="D25">
        <f>COUNTIFS(維修記錄!$C$4:$C$503,A25,維修記錄!$W$4:$W$503,"Y")</f>
      </c>
      <c r="E25">
        <f>IFERROR(D25/C25,"")</f>
      </c>
    </row>
    <row r="26">
      <c r="A26" t="str">
        <v>IP43B3Z</v>
      </c>
      <c r="B26" t="str">
        <v>監視器</v>
      </c>
      <c r="C26">
        <f>COUNTIF(維修記錄!$C$4:$C$503,A26)</f>
      </c>
      <c r="D26">
        <f>COUNTIFS(維修記錄!$C$4:$C$503,A26,維修記錄!$W$4:$W$503,"Y")</f>
      </c>
      <c r="E26">
        <f>IFERROR(D26/C26,"")</f>
      </c>
    </row>
    <row r="27">
      <c r="A27" t="str">
        <v>IP43C28</v>
      </c>
      <c r="B27" t="str">
        <v>監視器</v>
      </c>
      <c r="C27">
        <f>COUNTIF(維修記錄!$C$4:$C$503,A27)</f>
      </c>
      <c r="D27">
        <f>COUNTIFS(維修記錄!$C$4:$C$503,A27,維修記錄!$W$4:$W$503,"Y")</f>
      </c>
      <c r="E27">
        <f>IFERROR(D27/C27,"")</f>
      </c>
    </row>
    <row r="28">
      <c r="A28" t="str">
        <v>IP43D28</v>
      </c>
      <c r="B28" t="str">
        <v>監視器</v>
      </c>
      <c r="C28">
        <f>COUNTIF(維修記錄!$C$4:$C$503,A28)</f>
      </c>
      <c r="D28">
        <f>COUNTIFS(維修記錄!$C$4:$C$503,A28,維修記錄!$W$4:$W$503,"Y")</f>
      </c>
      <c r="E28">
        <f>IFERROR(D28/C28,"")</f>
      </c>
    </row>
    <row r="29">
      <c r="A29" t="str">
        <v>IP43L08</v>
      </c>
      <c r="B29" t="str">
        <v>監視器</v>
      </c>
      <c r="C29">
        <f>COUNTIF(維修記錄!$C$4:$C$503,A29)</f>
      </c>
      <c r="D29">
        <f>COUNTIFS(維修記錄!$C$4:$C$503,A29,維修記錄!$W$4:$W$503,"Y")</f>
      </c>
      <c r="E29">
        <f>IFERROR(D29/C29,"")</f>
      </c>
    </row>
    <row r="30">
      <c r="A30" t="str">
        <v>IP53C21</v>
      </c>
      <c r="B30" t="str">
        <v>監視器</v>
      </c>
      <c r="C30">
        <f>COUNTIF(維修記錄!$C$4:$C$503,A30)</f>
      </c>
      <c r="D30">
        <f>COUNTIFS(維修記錄!$C$4:$C$503,A30,維修記錄!$W$4:$W$503,"Y")</f>
      </c>
      <c r="E30">
        <f>IFERROR(D30/C30,"")</f>
      </c>
    </row>
    <row r="31">
      <c r="A31" t="str">
        <v>IP83B3Z</v>
      </c>
      <c r="B31" t="str">
        <v>監視器</v>
      </c>
      <c r="C31">
        <f>COUNTIF(維修記錄!$C$4:$C$503,A31)</f>
      </c>
      <c r="D31">
        <f>COUNTIFS(維修記錄!$C$4:$C$503,A31,維修記錄!$W$4:$W$503,"Y")</f>
      </c>
      <c r="E31">
        <f>IFERROR(D31/C31,"")</f>
      </c>
    </row>
    <row r="32">
      <c r="A32" t="str">
        <v>IPC3A36</v>
      </c>
      <c r="B32" t="str">
        <v>監視器</v>
      </c>
      <c r="C32">
        <f>COUNTIF(維修記錄!$C$4:$C$503,A32)</f>
      </c>
      <c r="D32">
        <f>COUNTIFS(維修記錄!$C$4:$C$503,A32,維修記錄!$W$4:$W$503,"Y")</f>
      </c>
      <c r="E32">
        <f>IFERROR(D32/C32,"")</f>
      </c>
    </row>
    <row r="33">
      <c r="A33" t="str">
        <v>IPC3A3Z</v>
      </c>
      <c r="B33" t="str">
        <v>監視器</v>
      </c>
      <c r="C33">
        <f>COUNTIF(維修記錄!$C$4:$C$503,A33)</f>
      </c>
      <c r="D33">
        <f>COUNTIFS(維修記錄!$C$4:$C$503,A33,維修記錄!$W$4:$W$503,"Y")</f>
      </c>
      <c r="E33">
        <f>IFERROR(D33/C33,"")</f>
      </c>
    </row>
    <row r="34">
      <c r="A34" t="str">
        <v>IPC3S2W</v>
      </c>
      <c r="B34" t="str">
        <v>監視器</v>
      </c>
      <c r="C34">
        <f>COUNTIF(維修記錄!$C$4:$C$503,A34)</f>
      </c>
      <c r="D34">
        <f>COUNTIFS(維修記錄!$C$4:$C$503,A34,維修記錄!$W$4:$W$503,"Y")</f>
      </c>
      <c r="E34">
        <f>IFERROR(D34/C34,"")</f>
      </c>
    </row>
    <row r="35">
      <c r="A35" t="str">
        <v>IPD3F16</v>
      </c>
      <c r="B35" t="str">
        <v>監視器</v>
      </c>
      <c r="C35">
        <f>COUNTIF(維修記錄!$C$4:$C$503,A35)</f>
      </c>
      <c r="D35">
        <f>COUNTIFS(維修記錄!$C$4:$C$503,A35,維修記錄!$W$4:$W$503,"Y")</f>
      </c>
      <c r="E35">
        <f>IFERROR(D35/C35,"")</f>
      </c>
    </row>
    <row r="36">
      <c r="A36" t="str">
        <v>LPR3B32</v>
      </c>
      <c r="B36" t="str">
        <v>監視器</v>
      </c>
      <c r="C36">
        <f>COUNTIF(維修記錄!$C$4:$C$503,A36)</f>
      </c>
      <c r="D36">
        <f>COUNTIFS(維修記錄!$C$4:$C$503,A36,維修記錄!$W$4:$W$503,"Y")</f>
      </c>
      <c r="E36">
        <f>IFERROR(D36/C36,"")</f>
      </c>
    </row>
    <row r="37">
      <c r="A37" t="str">
        <v>LPR3B3Z</v>
      </c>
      <c r="B37" t="str">
        <v>監視器</v>
      </c>
      <c r="C37">
        <f>COUNTIF(維修記錄!$C$4:$C$503,A37)</f>
      </c>
      <c r="D37">
        <f>COUNTIFS(維修記錄!$C$4:$C$503,A37,維修記錄!$W$4:$W$503,"Y")</f>
      </c>
      <c r="E37">
        <f>IFERROR(D37/C37,"")</f>
      </c>
    </row>
    <row r="38">
      <c r="A38" t="str">
        <v>NVR3F08</v>
      </c>
      <c r="B38" t="str">
        <v>監視器</v>
      </c>
      <c r="C38">
        <f>COUNTIF(維修記錄!$C$4:$C$503,A38)</f>
      </c>
      <c r="D38">
        <f>COUNTIFS(維修記錄!$C$4:$C$503,A38,維修記錄!$W$4:$W$503,"Y")</f>
      </c>
      <c r="E38">
        <f>IFERROR(D38/C38,"")</f>
      </c>
    </row>
    <row r="39">
      <c r="A39" t="str">
        <v>NVR3G16</v>
      </c>
      <c r="B39" t="str">
        <v>監視器</v>
      </c>
      <c r="C39">
        <f>COUNTIF(維修記錄!$C$4:$C$503,A39)</f>
      </c>
      <c r="D39">
        <f>COUNTIFS(維修記錄!$C$4:$C$503,A39,維修記錄!$W$4:$W$503,"Y")</f>
      </c>
      <c r="E39">
        <f>IFERROR(D39/C39,"")</f>
      </c>
    </row>
    <row r="40">
      <c r="A40" t="str">
        <v>NVR3G32</v>
      </c>
      <c r="B40" t="str">
        <v>監視器</v>
      </c>
      <c r="C40">
        <f>COUNTIF(維修記錄!$C$4:$C$503,A40)</f>
      </c>
      <c r="D40">
        <f>COUNTIFS(維修記錄!$C$4:$C$503,A40,維修記錄!$W$4:$W$503,"Y")</f>
      </c>
      <c r="E40">
        <f>IFERROR(D40/C40,"")</f>
      </c>
    </row>
    <row r="41">
      <c r="A41" t="str">
        <v>NVR3H16</v>
      </c>
      <c r="B41" t="str">
        <v>監視器</v>
      </c>
      <c r="C41">
        <f>COUNTIF(維修記錄!$C$4:$C$503,A41)</f>
      </c>
      <c r="D41">
        <f>COUNTIFS(維修記錄!$C$4:$C$503,A41,維修記錄!$W$4:$W$503,"Y")</f>
      </c>
      <c r="E41">
        <f>IFERROR(D41/C41,"")</f>
      </c>
    </row>
    <row r="42">
      <c r="A42" t="str">
        <v>NVR3I08</v>
      </c>
      <c r="B42" t="str">
        <v>監視器</v>
      </c>
      <c r="C42">
        <f>COUNTIF(維修記錄!$C$4:$C$503,A42)</f>
      </c>
      <c r="D42">
        <f>COUNTIFS(維修記錄!$C$4:$C$503,A42,維修記錄!$W$4:$W$503,"Y")</f>
      </c>
      <c r="E42">
        <f>IFERROR(D42/C42,"")</f>
      </c>
    </row>
    <row r="43">
      <c r="A43" t="str">
        <v>POEEXP1</v>
      </c>
      <c r="B43" t="str">
        <v>監視器</v>
      </c>
      <c r="C43">
        <f>COUNTIF(維修記錄!$C$4:$C$503,A43)</f>
      </c>
      <c r="D43">
        <f>COUNTIFS(維修記錄!$C$4:$C$503,A43,維修記錄!$W$4:$W$503,"Y")</f>
      </c>
      <c r="E43">
        <f>IFERROR(D43/C43,"")</f>
      </c>
    </row>
    <row r="44">
      <c r="A44" t="str">
        <v>TDB633A</v>
      </c>
      <c r="B44" t="str">
        <v>監視器</v>
      </c>
      <c r="C44">
        <f>COUNTIF(維修記錄!$C$4:$C$503,A44)</f>
      </c>
      <c r="D44">
        <f>COUNTIFS(維修記錄!$C$4:$C$503,A44,維修記錄!$W$4:$W$503,"Y")</f>
      </c>
      <c r="E44">
        <f>IFERROR(D44/C44,"")</f>
      </c>
    </row>
    <row r="45">
      <c r="A45" t="str">
        <v>VD43A16</v>
      </c>
      <c r="B45" t="str">
        <v>監視器</v>
      </c>
      <c r="C45">
        <f>COUNTIF(維修記錄!$C$4:$C$503,A45)</f>
      </c>
      <c r="D45">
        <f>COUNTIFS(維修記錄!$C$4:$C$503,A45,維修記錄!$W$4:$W$503,"Y")</f>
      </c>
      <c r="E45">
        <f>IFERROR(D45/C45,"")</f>
      </c>
    </row>
    <row r="46">
      <c r="A46" t="str">
        <v>CDRT010</v>
      </c>
      <c r="B46" t="str">
        <v>傳統保全</v>
      </c>
      <c r="C46">
        <f>COUNTIF(維修記錄!$C$4:$C$503,A46)</f>
      </c>
      <c r="D46">
        <f>COUNTIFS(維修記錄!$C$4:$C$503,A46,維修記錄!$W$4:$W$503,"Y")</f>
      </c>
      <c r="E46">
        <f>IFERROR(D46/C46,"")</f>
      </c>
    </row>
    <row r="47">
      <c r="A47" t="str">
        <v>CDRT030</v>
      </c>
      <c r="B47" t="str">
        <v>傳統保全</v>
      </c>
      <c r="C47">
        <f>COUNTIF(維修記錄!$C$4:$C$503,A47)</f>
      </c>
      <c r="D47">
        <f>COUNTIFS(維修記錄!$C$4:$C$503,A47,維修記錄!$W$4:$W$503,"Y")</f>
      </c>
      <c r="E47">
        <f>IFERROR(D47/C47,"")</f>
      </c>
    </row>
    <row r="48">
      <c r="A48" t="str">
        <v>CDRT080</v>
      </c>
      <c r="B48" t="str">
        <v>傳統保全</v>
      </c>
      <c r="C48">
        <f>COUNTIF(維修記錄!$C$4:$C$503,A48)</f>
      </c>
      <c r="D48">
        <f>COUNTIFS(維修記錄!$C$4:$C$503,A48,維修記錄!$W$4:$W$503,"Y")</f>
      </c>
      <c r="E48">
        <f>IFERROR(D48/C48,"")</f>
      </c>
    </row>
    <row r="49">
      <c r="A49" t="str">
        <v>CRS0020</v>
      </c>
      <c r="B49" t="str">
        <v>傳統保全</v>
      </c>
      <c r="C49">
        <f>COUNTIF(維修記錄!$C$4:$C$503,A49)</f>
      </c>
      <c r="D49">
        <f>COUNTIFS(維修記錄!$C$4:$C$503,A49,維修記錄!$W$4:$W$503,"Y")</f>
      </c>
      <c r="E49">
        <f>IFERROR(D49/C49,"")</f>
      </c>
    </row>
    <row r="50">
      <c r="A50" t="str">
        <v>CTM0051</v>
      </c>
      <c r="B50" t="str">
        <v>傳統保全</v>
      </c>
      <c r="C50">
        <f>COUNTIF(維修記錄!$C$4:$C$503,A50)</f>
      </c>
      <c r="D50">
        <f>COUNTIFS(維修記錄!$C$4:$C$503,A50,維修記錄!$W$4:$W$503,"Y")</f>
      </c>
      <c r="E50">
        <f>IFERROR(D50/C50,"")</f>
      </c>
    </row>
    <row r="51">
      <c r="A51" t="str">
        <v>CTMS020</v>
      </c>
      <c r="B51" t="str">
        <v>傳統保全</v>
      </c>
      <c r="C51">
        <f>COUNTIF(維修記錄!$C$4:$C$503,A51)</f>
      </c>
      <c r="D51">
        <f>COUNTIFS(維修記錄!$C$4:$C$503,A51,維修記錄!$W$4:$W$503,"Y")</f>
      </c>
      <c r="E51">
        <f>IFERROR(D51/C51,"")</f>
      </c>
    </row>
    <row r="52">
      <c r="A52" t="str">
        <v>CTO0010</v>
      </c>
      <c r="B52" t="str">
        <v>傳統保全</v>
      </c>
      <c r="C52">
        <f>COUNTIF(維修記錄!$C$4:$C$503,A52)</f>
      </c>
      <c r="D52">
        <f>COUNTIFS(維修記錄!$C$4:$C$503,A52,維修記錄!$W$4:$W$503,"Y")</f>
      </c>
      <c r="E52">
        <f>IFERROR(D52/C52,"")</f>
      </c>
    </row>
    <row r="53">
      <c r="A53" t="str">
        <v>CTO0020</v>
      </c>
      <c r="B53" t="str">
        <v>傳統保全</v>
      </c>
      <c r="C53">
        <f>COUNTIF(維修記錄!$C$4:$C$503,A53)</f>
      </c>
      <c r="D53">
        <f>COUNTIFS(維修記錄!$C$4:$C$503,A53,維修記錄!$W$4:$W$503,"Y")</f>
      </c>
      <c r="E53">
        <f>IFERROR(D53/C53,"")</f>
      </c>
    </row>
    <row r="54">
      <c r="A54" t="str">
        <v>CTO0030</v>
      </c>
      <c r="B54" t="str">
        <v>傳統保全</v>
      </c>
      <c r="C54">
        <f>COUNTIF(維修記錄!$C$4:$C$503,A54)</f>
      </c>
      <c r="D54">
        <f>COUNTIFS(維修記錄!$C$4:$C$503,A54,維修記錄!$W$4:$W$503,"Y")</f>
      </c>
      <c r="E54">
        <f>IFERROR(D54/C54,"")</f>
      </c>
    </row>
    <row r="55">
      <c r="A55" t="str">
        <v>EPES010</v>
      </c>
      <c r="B55" t="str">
        <v>傳統保全</v>
      </c>
      <c r="C55">
        <f>COUNTIF(維修記錄!$C$4:$C$503,A55)</f>
      </c>
      <c r="D55">
        <f>COUNTIFS(維修記錄!$C$4:$C$503,A55,維修記錄!$W$4:$W$503,"Y")</f>
      </c>
      <c r="E55">
        <f>IFERROR(D55/C55,"")</f>
      </c>
    </row>
    <row r="56">
      <c r="A56" t="str">
        <v>NTS001A</v>
      </c>
      <c r="B56" t="str">
        <v>傳統保全</v>
      </c>
      <c r="C56">
        <f>COUNTIF(維修記錄!$C$4:$C$503,A56)</f>
      </c>
      <c r="D56">
        <f>COUNTIFS(維修記錄!$C$4:$C$503,A56,維修記錄!$W$4:$W$503,"Y")</f>
      </c>
      <c r="E56">
        <f>IFERROR(D56/C56,"")</f>
      </c>
    </row>
    <row r="57">
      <c r="A57" t="str">
        <v>NTS0060</v>
      </c>
      <c r="B57" t="str">
        <v>傳統保全</v>
      </c>
      <c r="C57">
        <f>COUNTIF(維修記錄!$C$4:$C$503,A57)</f>
      </c>
      <c r="D57">
        <f>COUNTIFS(維修記錄!$C$4:$C$503,A57,維修記錄!$W$4:$W$503,"Y")</f>
      </c>
      <c r="E57">
        <f>IFERROR(D57/C57,"")</f>
      </c>
    </row>
    <row r="58">
      <c r="A58" t="str">
        <v>OPI3010</v>
      </c>
      <c r="B58" t="str">
        <v>傳統保全</v>
      </c>
      <c r="C58">
        <f>COUNTIF(維修記錄!$C$4:$C$503,A58)</f>
      </c>
      <c r="D58">
        <f>COUNTIFS(維修記錄!$C$4:$C$503,A58,維修記錄!$W$4:$W$503,"Y")</f>
      </c>
      <c r="E58">
        <f>IFERROR(D58/C58,"")</f>
      </c>
    </row>
    <row r="59">
      <c r="A59" t="str">
        <v>OPT0030</v>
      </c>
      <c r="B59" t="str">
        <v>傳統保全</v>
      </c>
      <c r="C59">
        <f>COUNTIF(維修記錄!$C$4:$C$503,A59)</f>
      </c>
      <c r="D59">
        <f>COUNTIFS(維修記錄!$C$4:$C$503,A59,維修記錄!$W$4:$W$503,"Y")</f>
      </c>
      <c r="E59">
        <f>IFERROR(D59/C59,"")</f>
      </c>
    </row>
    <row r="60">
      <c r="A60" t="str">
        <v>PCAS600</v>
      </c>
      <c r="B60" t="str">
        <v>傳統保全</v>
      </c>
      <c r="C60">
        <f>COUNTIF(維修記錄!$C$4:$C$503,A60)</f>
      </c>
      <c r="D60">
        <f>COUNTIFS(維修記錄!$C$4:$C$503,A60,維修記錄!$W$4:$W$503,"Y")</f>
      </c>
      <c r="E60">
        <f>IFERROR(D60/C60,"")</f>
      </c>
    </row>
    <row r="61">
      <c r="A61" t="str">
        <v>RFSD020</v>
      </c>
      <c r="B61" t="str">
        <v>傳統保全</v>
      </c>
      <c r="C61">
        <f>COUNTIF(維修記錄!$C$4:$C$503,A61)</f>
      </c>
      <c r="D61">
        <f>COUNTIFS(維修記錄!$C$4:$C$503,A61,維修記錄!$W$4:$W$503,"Y")</f>
      </c>
      <c r="E61">
        <f>IFERROR(D61/C61,"")</f>
      </c>
    </row>
    <row r="62">
      <c r="A62" t="str">
        <v>SCA0020</v>
      </c>
      <c r="B62" t="str">
        <v>傳統保全</v>
      </c>
      <c r="C62">
        <f>COUNTIF(維修記錄!$C$4:$C$503,A62)</f>
      </c>
      <c r="D62">
        <f>COUNTIFS(維修記錄!$C$4:$C$503,A62,維修記錄!$W$4:$W$503,"Y")</f>
      </c>
      <c r="E62">
        <f>IFERROR(D62/C62,"")</f>
      </c>
    </row>
    <row r="63">
      <c r="A63" t="str">
        <v>SCL0020</v>
      </c>
      <c r="B63" t="str">
        <v>傳統保全</v>
      </c>
      <c r="C63">
        <f>COUNTIF(維修記錄!$C$4:$C$503,A63)</f>
      </c>
      <c r="D63">
        <f>COUNTIFS(維修記錄!$C$4:$C$503,A63,維修記錄!$W$4:$W$503,"Y")</f>
      </c>
      <c r="E63">
        <f>IFERROR(D63/C63,"")</f>
      </c>
    </row>
    <row r="64">
      <c r="A64" t="str">
        <v>SCX0050</v>
      </c>
      <c r="B64" t="str">
        <v>傳統保全</v>
      </c>
      <c r="C64">
        <f>COUNTIF(維修記錄!$C$4:$C$503,A64)</f>
      </c>
      <c r="D64">
        <f>COUNTIFS(維修記錄!$C$4:$C$503,A64,維修記錄!$W$4:$W$503,"Y")</f>
      </c>
      <c r="E64">
        <f>IFERROR(D64/C64,"")</f>
      </c>
    </row>
    <row r="65">
      <c r="A65" t="str">
        <v>SCX0051</v>
      </c>
      <c r="B65" t="str">
        <v>傳統保全</v>
      </c>
      <c r="C65">
        <f>COUNTIF(維修記錄!$C$4:$C$503,A65)</f>
      </c>
      <c r="D65">
        <f>COUNTIFS(維修記錄!$C$4:$C$503,A65,維修記錄!$W$4:$W$503,"Y")</f>
      </c>
      <c r="E65">
        <f>IFERROR(D65/C65,"")</f>
      </c>
    </row>
    <row r="66">
      <c r="A66" t="str">
        <v>SCX051A</v>
      </c>
      <c r="B66" t="str">
        <v>傳統保全</v>
      </c>
      <c r="C66">
        <f>COUNTIF(維修記錄!$C$4:$C$503,A66)</f>
      </c>
      <c r="D66">
        <f>COUNTIFS(維修記錄!$C$4:$C$503,A66,維修記錄!$W$4:$W$503,"Y")</f>
      </c>
      <c r="E66">
        <f>IFERROR(D66/C66,"")</f>
      </c>
    </row>
    <row r="67">
      <c r="A67" t="str">
        <v>SHT0071</v>
      </c>
      <c r="B67" t="str">
        <v>傳統保全</v>
      </c>
      <c r="C67">
        <f>COUNTIF(維修記錄!$C$4:$C$503,A67)</f>
      </c>
      <c r="D67">
        <f>COUNTIFS(維修記錄!$C$4:$C$503,A67,維修記錄!$W$4:$W$503,"Y")</f>
      </c>
      <c r="E67">
        <f>IFERROR(D67/C67,"")</f>
      </c>
    </row>
    <row r="68">
      <c r="A68" t="str">
        <v>SHT0072</v>
      </c>
      <c r="B68" t="str">
        <v>傳統保全</v>
      </c>
      <c r="C68">
        <f>COUNTIF(維修記錄!$C$4:$C$503,A68)</f>
      </c>
      <c r="D68">
        <f>COUNTIFS(維修記錄!$C$4:$C$503,A68,維修記錄!$W$4:$W$503,"Y")</f>
      </c>
      <c r="E68">
        <f>IFERROR(D68/C68,"")</f>
      </c>
    </row>
    <row r="69">
      <c r="A69" t="str">
        <v>SHT0081</v>
      </c>
      <c r="B69" t="str">
        <v>傳統保全</v>
      </c>
      <c r="C69">
        <f>COUNTIF(維修記錄!$C$4:$C$503,A69)</f>
      </c>
      <c r="D69">
        <f>COUNTIFS(維修記錄!$C$4:$C$503,A69,維修記錄!$W$4:$W$503,"Y")</f>
      </c>
      <c r="E69">
        <f>IFERROR(D69/C69,"")</f>
      </c>
    </row>
    <row r="70">
      <c r="A70" t="str">
        <v>SPC0010</v>
      </c>
      <c r="B70" t="str">
        <v>傳統保全</v>
      </c>
      <c r="C70">
        <f>COUNTIF(維修記錄!$C$4:$C$503,A70)</f>
      </c>
      <c r="D70">
        <f>COUNTIFS(維修記錄!$C$4:$C$503,A70,維修記錄!$W$4:$W$503,"Y")</f>
      </c>
      <c r="E70">
        <f>IFERROR(D70/C70,"")</f>
      </c>
    </row>
    <row r="71">
      <c r="A71" t="str">
        <v>SPK009B</v>
      </c>
      <c r="B71" t="str">
        <v>傳統保全</v>
      </c>
      <c r="C71">
        <f>COUNTIF(維修記錄!$C$4:$C$503,A71)</f>
      </c>
      <c r="D71">
        <f>COUNTIFS(維修記錄!$C$4:$C$503,A71,維修記錄!$W$4:$W$503,"Y")</f>
      </c>
      <c r="E71">
        <f>IFERROR(D71/C71,"")</f>
      </c>
    </row>
    <row r="72">
      <c r="A72" t="str">
        <v>SPK011A</v>
      </c>
      <c r="B72" t="str">
        <v>傳統保全</v>
      </c>
      <c r="C72">
        <f>COUNTIF(維修記錄!$C$4:$C$503,A72)</f>
      </c>
      <c r="D72">
        <f>COUNTIFS(維修記錄!$C$4:$C$503,A72,維修記錄!$W$4:$W$503,"Y")</f>
      </c>
      <c r="E72">
        <f>IFERROR(D72/C72,"")</f>
      </c>
    </row>
    <row r="73">
      <c r="A73" t="str">
        <v>SPM0051</v>
      </c>
      <c r="B73" t="str">
        <v>傳統保全</v>
      </c>
      <c r="C73">
        <f>COUNTIF(維修記錄!$C$4:$C$503,A73)</f>
      </c>
      <c r="D73">
        <f>COUNTIFS(維修記錄!$C$4:$C$503,A73,維修記錄!$W$4:$W$503,"Y")</f>
      </c>
      <c r="E73">
        <f>IFERROR(D73/C73,"")</f>
      </c>
    </row>
    <row r="74">
      <c r="A74" t="str">
        <v>SPM0171</v>
      </c>
      <c r="B74" t="str">
        <v>傳統保全</v>
      </c>
      <c r="C74">
        <f>COUNTIF(維修記錄!$C$4:$C$503,A74)</f>
      </c>
      <c r="D74">
        <f>COUNTIFS(維修記錄!$C$4:$C$503,A74,維修記錄!$W$4:$W$503,"Y")</f>
      </c>
      <c r="E74">
        <f>IFERROR(D74/C74,"")</f>
      </c>
    </row>
    <row r="75">
      <c r="A75" t="str">
        <v>SVAT500</v>
      </c>
      <c r="B75" t="str">
        <v>傳統保全</v>
      </c>
      <c r="C75">
        <f>COUNTIF(維修記錄!$C$4:$C$503,A75)</f>
      </c>
      <c r="D75">
        <f>COUNTIFS(維修記錄!$C$4:$C$503,A75,維修記錄!$W$4:$W$503,"Y")</f>
      </c>
      <c r="E75">
        <f>IFERROR(D75/C75,"")</f>
      </c>
    </row>
    <row r="76">
      <c r="A76" t="str">
        <v>TCNT010</v>
      </c>
      <c r="B76" t="str">
        <v>傳統保全</v>
      </c>
      <c r="C76">
        <f>COUNTIF(維修記錄!$C$4:$C$503,A76)</f>
      </c>
      <c r="D76">
        <f>COUNTIFS(維修記錄!$C$4:$C$503,A76,維修記錄!$W$4:$W$503,"Y")</f>
      </c>
      <c r="E76">
        <f>IFERROR(D76/C76,"")</f>
      </c>
    </row>
    <row r="77">
      <c r="A77" t="str">
        <v>TCNT030</v>
      </c>
      <c r="B77" t="str">
        <v>傳統保全</v>
      </c>
      <c r="C77">
        <f>COUNTIF(維修記錄!$C$4:$C$503,A77)</f>
      </c>
      <c r="D77">
        <f>COUNTIFS(維修記錄!$C$4:$C$503,A77,維修記錄!$W$4:$W$503,"Y")</f>
      </c>
      <c r="E77">
        <f>IFERROR(D77/C77,"")</f>
      </c>
    </row>
    <row r="78">
      <c r="A78" t="str">
        <v>TCNT03D</v>
      </c>
      <c r="B78" t="str">
        <v>傳統保全</v>
      </c>
      <c r="C78">
        <f>COUNTIF(維修記錄!$C$4:$C$503,A78)</f>
      </c>
      <c r="D78">
        <f>COUNTIFS(維修記錄!$C$4:$C$503,A78,維修記錄!$W$4:$W$503,"Y")</f>
      </c>
      <c r="E78">
        <f>IFERROR(D78/C78,"")</f>
      </c>
    </row>
    <row r="79">
      <c r="A79" t="str">
        <v>TFM0020</v>
      </c>
      <c r="B79" t="str">
        <v>傳統保全</v>
      </c>
      <c r="C79">
        <f>COUNTIF(維修記錄!$C$4:$C$503,A79)</f>
      </c>
      <c r="D79">
        <f>COUNTIFS(維修記錄!$C$4:$C$503,A79,維修記錄!$W$4:$W$503,"Y")</f>
      </c>
      <c r="E79">
        <f>IFERROR(D79/C79,"")</f>
      </c>
    </row>
    <row r="80">
      <c r="A80" t="str">
        <v>THS0010</v>
      </c>
      <c r="B80" t="str">
        <v>傳統保全</v>
      </c>
      <c r="C80">
        <f>COUNTIF(維修記錄!$C$4:$C$503,A80)</f>
      </c>
      <c r="D80">
        <f>COUNTIFS(維修記錄!$C$4:$C$503,A80,維修記錄!$W$4:$W$503,"Y")</f>
      </c>
      <c r="E80">
        <f>IFERROR(D80/C80,"")</f>
      </c>
    </row>
    <row r="81">
      <c r="A81" t="str">
        <v>THS001A</v>
      </c>
      <c r="B81" t="str">
        <v>傳統保全</v>
      </c>
      <c r="C81">
        <f>COUNTIF(維修記錄!$C$4:$C$503,A81)</f>
      </c>
      <c r="D81">
        <f>COUNTIFS(維修記錄!$C$4:$C$503,A81,維修記錄!$W$4:$W$503,"Y")</f>
      </c>
      <c r="E81">
        <f>IFERROR(D81/C81,"")</f>
      </c>
    </row>
    <row r="82">
      <c r="A82" t="str">
        <v>THS0020</v>
      </c>
      <c r="B82" t="str">
        <v>傳統保全</v>
      </c>
      <c r="C82">
        <f>COUNTIF(維修記錄!$C$4:$C$503,A82)</f>
      </c>
      <c r="D82">
        <f>COUNTIFS(維修記錄!$C$4:$C$503,A82,維修記錄!$W$4:$W$503,"Y")</f>
      </c>
      <c r="E82">
        <f>IFERROR(D82/C82,"")</f>
      </c>
    </row>
    <row r="83">
      <c r="A83" t="str">
        <v>THS0030</v>
      </c>
      <c r="B83" t="str">
        <v>傳統保全</v>
      </c>
      <c r="C83">
        <f>COUNTIF(維修記錄!$C$4:$C$503,A83)</f>
      </c>
      <c r="D83">
        <f>COUNTIFS(維修記錄!$C$4:$C$503,A83,維修記錄!$W$4:$W$503,"Y")</f>
      </c>
      <c r="E83">
        <f>IFERROR(D83/C83,"")</f>
      </c>
    </row>
    <row r="84">
      <c r="A84" t="str">
        <v>THSM010</v>
      </c>
      <c r="B84" t="str">
        <v>傳統保全</v>
      </c>
      <c r="C84">
        <f>COUNTIF(維修記錄!$C$4:$C$503,A84)</f>
      </c>
      <c r="D84">
        <f>COUNTIFS(維修記錄!$C$4:$C$503,A84,維修記錄!$W$4:$W$503,"Y")</f>
      </c>
      <c r="E84">
        <f>IFERROR(D84/C84,"")</f>
      </c>
    </row>
    <row r="85">
      <c r="A85" t="str">
        <v>TLED010</v>
      </c>
      <c r="B85" t="str">
        <v>傳統保全</v>
      </c>
      <c r="C85">
        <f>COUNTIF(維修記錄!$C$4:$C$503,A85)</f>
      </c>
      <c r="D85">
        <f>COUNTIFS(維修記錄!$C$4:$C$503,A85,維修記錄!$W$4:$W$503,"Y")</f>
      </c>
      <c r="E85">
        <f>IFERROR(D85/C85,"")</f>
      </c>
    </row>
    <row r="86">
      <c r="A86" t="str">
        <v>TPAD050</v>
      </c>
      <c r="B86" t="str">
        <v>傳統保全</v>
      </c>
      <c r="C86">
        <f>COUNTIF(維修記錄!$C$4:$C$503,A86)</f>
      </c>
      <c r="D86">
        <f>COUNTIFS(維修記錄!$C$4:$C$503,A86,維修記錄!$W$4:$W$503,"Y")</f>
      </c>
      <c r="E86">
        <f>IFERROR(D86/C86,"")</f>
      </c>
    </row>
    <row r="87">
      <c r="A87" t="str">
        <v>TPW0010</v>
      </c>
      <c r="B87" t="str">
        <v>傳統保全</v>
      </c>
      <c r="C87">
        <f>COUNTIF(維修記錄!$C$4:$C$503,A87)</f>
      </c>
      <c r="D87">
        <f>COUNTIFS(維修記錄!$C$4:$C$503,A87,維修記錄!$W$4:$W$503,"Y")</f>
      </c>
      <c r="E87">
        <f>IFERROR(D87/C87,"")</f>
      </c>
    </row>
    <row r="88">
      <c r="A88" t="str">
        <v>TPW0050</v>
      </c>
      <c r="B88" t="str">
        <v>傳統保全</v>
      </c>
      <c r="C88">
        <f>COUNTIF(維修記錄!$C$4:$C$503,A88)</f>
      </c>
      <c r="D88">
        <f>COUNTIFS(維修記錄!$C$4:$C$503,A88,維修記錄!$W$4:$W$503,"Y")</f>
      </c>
      <c r="E88">
        <f>IFERROR(D88/C88,"")</f>
      </c>
    </row>
    <row r="89">
      <c r="A89" t="str">
        <v>TSM0030</v>
      </c>
      <c r="B89" t="str">
        <v>傳統保全</v>
      </c>
      <c r="C89">
        <f>COUNTIF(維修記錄!$C$4:$C$503,A89)</f>
      </c>
      <c r="D89">
        <f>COUNTIFS(維修記錄!$C$4:$C$503,A89,維修記錄!$W$4:$W$503,"Y")</f>
      </c>
      <c r="E89">
        <f>IFERROR(D89/C89,"")</f>
      </c>
    </row>
    <row r="90">
      <c r="A90" t="str">
        <v>VTS0010</v>
      </c>
      <c r="B90" t="str">
        <v>傳統保全</v>
      </c>
      <c r="C90">
        <f>COUNTIF(維修記錄!$C$4:$C$503,A90)</f>
      </c>
      <c r="D90">
        <f>COUNTIFS(維修記錄!$C$4:$C$503,A90,維修記錄!$W$4:$W$503,"Y")</f>
      </c>
      <c r="E90">
        <f>IFERROR(D90/C90,"")</f>
      </c>
    </row>
    <row r="91">
      <c r="A91" t="str">
        <v>XRCS-S1</v>
      </c>
      <c r="B91" t="str">
        <v>傳統保全</v>
      </c>
      <c r="C91">
        <f>COUNTIF(維修記錄!$C$4:$C$503,A91)</f>
      </c>
      <c r="D91">
        <f>COUNTIFS(維修記錄!$C$4:$C$503,A91,維修記錄!$W$4:$W$503,"Y")</f>
      </c>
      <c r="E91">
        <f>IFERROR(D91/C91,"")</f>
      </c>
    </row>
    <row r="92">
      <c r="A92" t="str">
        <v>IOT0600</v>
      </c>
      <c r="B92" t="str">
        <v>無線保全</v>
      </c>
      <c r="C92">
        <f>COUNTIF(維修記錄!$C$4:$C$503,A92)</f>
      </c>
      <c r="D92">
        <f>COUNTIFS(維修記錄!$C$4:$C$503,A92,維修記錄!$W$4:$W$503,"Y")</f>
      </c>
      <c r="E92">
        <f>IFERROR(D92/C92,"")</f>
      </c>
    </row>
    <row r="93">
      <c r="A93" t="str">
        <v>IOT0700</v>
      </c>
      <c r="B93" t="str">
        <v>無線保全</v>
      </c>
      <c r="C93">
        <f>COUNTIF(維修記錄!$C$4:$C$503,A93)</f>
      </c>
      <c r="D93">
        <f>COUNTIFS(維修記錄!$C$4:$C$503,A93,維修記錄!$W$4:$W$503,"Y")</f>
      </c>
      <c r="E93">
        <f>IFERROR(D93/C93,"")</f>
      </c>
    </row>
    <row r="94">
      <c r="A94" t="str">
        <v>IOT0800</v>
      </c>
      <c r="B94" t="str">
        <v>無線保全</v>
      </c>
      <c r="C94">
        <f>COUNTIF(維修記錄!$C$4:$C$503,A94)</f>
      </c>
      <c r="D94">
        <f>COUNTIFS(維修記錄!$C$4:$C$503,A94,維修記錄!$W$4:$W$503,"Y")</f>
      </c>
      <c r="E94">
        <f>IFERROR(D94/C94,"")</f>
      </c>
    </row>
    <row r="95">
      <c r="A95" t="str">
        <v>IRL32ZB</v>
      </c>
      <c r="B95" t="str">
        <v>無線保全</v>
      </c>
      <c r="C95">
        <f>COUNTIF(維修記錄!$C$4:$C$503,A95)</f>
      </c>
      <c r="D95">
        <f>COUNTIFS(維修記錄!$C$4:$C$503,A95,維修記錄!$W$4:$W$503,"Y")</f>
      </c>
      <c r="E95">
        <f>IFERROR(D95/C95,"")</f>
      </c>
    </row>
    <row r="96">
      <c r="A96" t="str">
        <v>KDSL7ZB</v>
      </c>
      <c r="B96" t="str">
        <v>無線保全</v>
      </c>
      <c r="C96">
        <f>COUNTIF(維修記錄!$C$4:$C$503,A96)</f>
      </c>
      <c r="D96">
        <f>COUNTIFS(維修記錄!$C$4:$C$503,A96,維修記錄!$W$4:$W$503,"Y")</f>
      </c>
      <c r="E96">
        <f>IFERROR(D96/C96,"")</f>
      </c>
    </row>
    <row r="97">
      <c r="A97" t="str">
        <v>RFAS010</v>
      </c>
      <c r="B97" t="str">
        <v>無線保全</v>
      </c>
      <c r="C97">
        <f>COUNTIF(維修記錄!$C$4:$C$503,A97)</f>
      </c>
      <c r="D97">
        <f>COUNTIFS(維修記錄!$C$4:$C$503,A97,維修記錄!$W$4:$W$503,"Y")</f>
      </c>
      <c r="E97">
        <f>IFERROR(D97/C97,"")</f>
      </c>
    </row>
    <row r="98">
      <c r="A98" t="str">
        <v>RFDIO10</v>
      </c>
      <c r="B98" t="str">
        <v>無線保全</v>
      </c>
      <c r="C98">
        <f>COUNTIF(維修記錄!$C$4:$C$503,A98)</f>
      </c>
      <c r="D98">
        <f>COUNTIFS(維修記錄!$C$4:$C$503,A98,維修記錄!$W$4:$W$503,"Y")</f>
      </c>
      <c r="E98">
        <f>IFERROR(D98/C98,"")</f>
      </c>
    </row>
    <row r="99">
      <c r="A99" t="str">
        <v>RFPIR30</v>
      </c>
      <c r="B99" t="str">
        <v>無線保全</v>
      </c>
      <c r="C99">
        <f>COUNTIF(維修記錄!$C$4:$C$503,A99)</f>
      </c>
      <c r="D99">
        <f>COUNTIFS(維修記錄!$C$4:$C$503,A99,維修記錄!$W$4:$W$503,"Y")</f>
      </c>
      <c r="E99">
        <f>IFERROR(D99/C99,"")</f>
      </c>
    </row>
    <row r="100">
      <c r="A100" t="str">
        <v>RFRT030</v>
      </c>
      <c r="B100" t="str">
        <v>無線保全</v>
      </c>
      <c r="C100">
        <f>COUNTIF(維修記錄!$C$4:$C$503,A100)</f>
      </c>
      <c r="D100">
        <f>COUNTIFS(維修記錄!$C$4:$C$503,A100,維修記錄!$W$4:$W$503,"Y")</f>
      </c>
      <c r="E100">
        <f>IFERROR(D100/C100,"")</f>
      </c>
    </row>
    <row r="101">
      <c r="A101" t="str">
        <v>RFSPC10</v>
      </c>
      <c r="B101" t="str">
        <v>無線保全</v>
      </c>
      <c r="C101">
        <f>COUNTIF(維修記錄!$C$4:$C$503,A101)</f>
      </c>
      <c r="D101">
        <f>COUNTIFS(維修記錄!$C$4:$C$503,A101,維修記錄!$W$4:$W$503,"Y")</f>
      </c>
      <c r="E101">
        <f>IFERROR(D101/C101,"")</f>
      </c>
    </row>
    <row r="102">
      <c r="A102" t="str">
        <v>RFSPM21</v>
      </c>
      <c r="B102" t="str">
        <v>無線保全</v>
      </c>
      <c r="C102">
        <f>COUNTIF(維修記錄!$C$4:$C$503,A102)</f>
      </c>
      <c r="D102">
        <f>COUNTIFS(維修記錄!$C$4:$C$503,A102,維修記錄!$W$4:$W$503,"Y")</f>
      </c>
      <c r="E102">
        <f>IFERROR(D102/C102,"")</f>
      </c>
    </row>
    <row r="103">
      <c r="A103" t="str">
        <v>RFSSL20</v>
      </c>
      <c r="B103" t="str">
        <v>無線保全</v>
      </c>
      <c r="C103">
        <f>COUNTIF(維修記錄!$C$4:$C$503,A103)</f>
      </c>
      <c r="D103">
        <f>COUNTIFS(維修記錄!$C$4:$C$503,A103,維修記錄!$W$4:$W$503,"Y")</f>
      </c>
      <c r="E103">
        <f>IFERROR(D103/C103,"")</f>
      </c>
    </row>
    <row r="104">
      <c r="A104" t="str">
        <v>RFTG030</v>
      </c>
      <c r="B104" t="str">
        <v>無線保全</v>
      </c>
      <c r="C104">
        <f>COUNTIF(維修記錄!$C$4:$C$503,A104)</f>
      </c>
      <c r="D104">
        <f>COUNTIFS(維修記錄!$C$4:$C$503,A104,維修記錄!$W$4:$W$503,"Y")</f>
      </c>
      <c r="E104">
        <f>IFERROR(D104/C104,"")</f>
      </c>
    </row>
    <row r="105">
      <c r="A105" t="str">
        <v>RFTM010</v>
      </c>
      <c r="B105" t="str">
        <v>無線保全</v>
      </c>
      <c r="C105">
        <f>COUNTIF(維修記錄!$C$4:$C$503,A105)</f>
      </c>
      <c r="D105">
        <f>COUNTIFS(維修記錄!$C$4:$C$503,A105,維修記錄!$W$4:$W$503,"Y")</f>
      </c>
      <c r="E105">
        <f>IFERROR(D105/C105,"")</f>
      </c>
    </row>
    <row r="106">
      <c r="A106" t="str">
        <v>RFVX41T</v>
      </c>
      <c r="B106" t="str">
        <v>無線保全</v>
      </c>
      <c r="C106">
        <f>COUNTIF(維修記錄!$C$4:$C$503,A106)</f>
      </c>
      <c r="D106">
        <f>COUNTIFS(維修記錄!$C$4:$C$503,A106,維修記錄!$W$4:$W$503,"Y")</f>
      </c>
      <c r="E106">
        <f>IFERROR(D106/C106,"")</f>
      </c>
    </row>
    <row r="107">
      <c r="A107" t="str">
        <v>RF11940</v>
      </c>
      <c r="B107" t="str">
        <v>無線保全</v>
      </c>
      <c r="C107">
        <f>COUNTIF(維修記錄!$C$4:$C$503,A107)</f>
      </c>
      <c r="D107">
        <f>COUNTIFS(維修記錄!$C$4:$C$503,A107,維修記錄!$W$4:$W$503,"Y")</f>
      </c>
      <c r="E107">
        <f>IFERROR(D107/C107,"")</f>
      </c>
    </row>
    <row r="108">
      <c r="A108" t="str">
        <v>RL320ZB</v>
      </c>
      <c r="B108" t="str">
        <v>無線保全</v>
      </c>
      <c r="C108">
        <f>COUNTIF(維修記錄!$C$4:$C$503,A108)</f>
      </c>
      <c r="D108">
        <f>COUNTIFS(維修記錄!$C$4:$C$503,A108,維修記錄!$W$4:$W$503,"Y")</f>
      </c>
      <c r="E108">
        <f>IFERROR(D108/C108,"")</f>
      </c>
    </row>
    <row r="109">
      <c r="A109" t="str">
        <v>RSPM031</v>
      </c>
      <c r="B109" t="str">
        <v>無線保全</v>
      </c>
      <c r="C109">
        <f>COUNTIF(維修記錄!$C$4:$C$503,A109)</f>
      </c>
      <c r="D109">
        <f>COUNTIFS(維修記錄!$C$4:$C$503,A109,維修記錄!$W$4:$W$503,"Y")</f>
      </c>
      <c r="E109">
        <f>IFERROR(D109/C109,"")</f>
      </c>
    </row>
    <row r="110">
      <c r="A110" t="str">
        <v>RSPMB21</v>
      </c>
      <c r="B110" t="str">
        <v>無線保全</v>
      </c>
      <c r="C110">
        <f>COUNTIF(維修記錄!$C$4:$C$503,A110)</f>
      </c>
      <c r="D110">
        <f>COUNTIFS(維修記錄!$C$4:$C$503,A110,維修記錄!$W$4:$W$503,"Y")</f>
      </c>
      <c r="E110">
        <f>IFERROR(D110/C110,"")</f>
      </c>
    </row>
    <row r="111">
      <c r="A111" t="str">
        <v>TPS0050</v>
      </c>
      <c r="B111" t="str">
        <v>無線保全</v>
      </c>
      <c r="C111">
        <f>COUNTIF(維修記錄!$C$4:$C$503,A111)</f>
      </c>
      <c r="D111">
        <f>COUNTIFS(維修記錄!$C$4:$C$503,A111,維修記錄!$W$4:$W$503,"Y")</f>
      </c>
      <c r="E111">
        <f>IFERROR(D111/C111,"")</f>
      </c>
    </row>
    <row r="112">
      <c r="A112" t="str">
        <v>TPS041A</v>
      </c>
      <c r="B112" t="str">
        <v>無線保全</v>
      </c>
      <c r="C112">
        <f>COUNTIF(維修記錄!$C$4:$C$503,A112)</f>
      </c>
      <c r="D112">
        <f>COUNTIFS(維修記錄!$C$4:$C$503,A112,維修記錄!$W$4:$W$503,"Y")</f>
      </c>
      <c r="E112">
        <f>IFERROR(D112/C112,"")</f>
      </c>
    </row>
    <row r="113">
      <c r="A113" t="str">
        <v>TPSZB41</v>
      </c>
      <c r="B113" t="str">
        <v>無線保全</v>
      </c>
      <c r="C113">
        <f>COUNTIF(維修記錄!$C$4:$C$503,A113)</f>
      </c>
      <c r="D113">
        <f>COUNTIFS(維修記錄!$C$4:$C$503,A113,維修記錄!$W$4:$W$503,"Y")</f>
      </c>
      <c r="E113">
        <f>IFERROR(D113/C113,"")</f>
      </c>
    </row>
    <row r="114">
      <c r="A114" t="str">
        <v>TRANS12</v>
      </c>
      <c r="B114" t="str">
        <v>無線保全</v>
      </c>
      <c r="C114">
        <f>COUNTIF(維修記錄!$C$4:$C$503,A114)</f>
      </c>
      <c r="D114">
        <f>COUNTIFS(維修記錄!$C$4:$C$503,A114,維修記錄!$W$4:$W$503,"Y")</f>
      </c>
      <c r="E114">
        <f>IFERROR(D114/C114,"")</f>
      </c>
    </row>
    <row r="115">
      <c r="A115" t="str">
        <v>XRCSS1</v>
      </c>
      <c r="B115" t="str">
        <v>無線保全</v>
      </c>
      <c r="C115">
        <f>COUNTIF(維修記錄!$C$4:$C$503,A115)</f>
      </c>
      <c r="D115">
        <f>COUNTIFS(維修記錄!$C$4:$C$503,A115,維修記錄!$W$4:$W$503,"Y")</f>
      </c>
      <c r="E115">
        <f>IFERROR(D115/C115,"")</f>
      </c>
    </row>
    <row r="116">
      <c r="A116" t="str">
        <v>ZBACI20</v>
      </c>
      <c r="B116" t="str">
        <v>無線保全</v>
      </c>
      <c r="C116">
        <f>COUNTIF(維修記錄!$C$4:$C$503,A116)</f>
      </c>
      <c r="D116">
        <f>COUNTIFS(維修記錄!$C$4:$C$503,A116,維修記錄!$W$4:$W$503,"Y")</f>
      </c>
      <c r="E116">
        <f>IFERROR(D116/C116,"")</f>
      </c>
    </row>
    <row r="117">
      <c r="A117" t="str">
        <v>ZBDIO80</v>
      </c>
      <c r="B117" t="str">
        <v>無線保全</v>
      </c>
      <c r="C117">
        <f>COUNTIF(維修記錄!$C$4:$C$503,A117)</f>
      </c>
      <c r="D117">
        <f>COUNTIFS(維修記錄!$C$4:$C$503,A117,維修記錄!$W$4:$W$503,"Y")</f>
      </c>
      <c r="E117">
        <f>IFERROR(D117/C117,"")</f>
      </c>
    </row>
    <row r="118">
      <c r="A118" t="str">
        <v>ZBDIO90</v>
      </c>
      <c r="B118" t="str">
        <v>無線保全</v>
      </c>
      <c r="C118">
        <f>COUNTIF(維修記錄!$C$4:$C$503,A118)</f>
      </c>
      <c r="D118">
        <f>COUNTIFS(維修記錄!$C$4:$C$503,A118,維修記錄!$W$4:$W$503,"Y")</f>
      </c>
      <c r="E118">
        <f>IFERROR(D118/C118,"")</f>
      </c>
    </row>
    <row r="119">
      <c r="A119" t="str">
        <v>ZBHD060</v>
      </c>
      <c r="B119" t="str">
        <v>無線保全</v>
      </c>
      <c r="C119">
        <f>COUNTIF(維修記錄!$C$4:$C$503,A119)</f>
      </c>
      <c r="D119">
        <f>COUNTIFS(維修記錄!$C$4:$C$503,A119,維修記錄!$W$4:$W$503,"Y")</f>
      </c>
      <c r="E119">
        <f>IFERROR(D119/C119,"")</f>
      </c>
    </row>
    <row r="120">
      <c r="A120" t="str">
        <v>ZBIRC50</v>
      </c>
      <c r="B120" t="str">
        <v>無線保全</v>
      </c>
      <c r="C120">
        <f>COUNTIF(維修記錄!$C$4:$C$503,A120)</f>
      </c>
      <c r="D120">
        <f>COUNTIFS(維修記錄!$C$4:$C$503,A120,維修記錄!$W$4:$W$503,"Y")</f>
      </c>
      <c r="E120">
        <f>IFERROR(D120/C120,"")</f>
      </c>
    </row>
    <row r="121">
      <c r="A121" t="str">
        <v>ZBIRC5S</v>
      </c>
      <c r="B121" t="str">
        <v>無線保全</v>
      </c>
      <c r="C121">
        <f>COUNTIF(維修記錄!$C$4:$C$503,A121)</f>
      </c>
      <c r="D121">
        <f>COUNTIFS(維修記錄!$C$4:$C$503,A121,維修記錄!$W$4:$W$503,"Y")</f>
      </c>
      <c r="E121">
        <f>IFERROR(D121/C121,"")</f>
      </c>
    </row>
    <row r="122">
      <c r="A122" t="str">
        <v>ZBPIR50</v>
      </c>
      <c r="B122" t="str">
        <v>無線保全</v>
      </c>
      <c r="C122">
        <f>COUNTIF(維修記錄!$C$4:$C$503,A122)</f>
      </c>
      <c r="D122">
        <f>COUNTIFS(維修記錄!$C$4:$C$503,A122,維修記錄!$W$4:$W$503,"Y")</f>
      </c>
      <c r="E122">
        <f>IFERROR(D122/C122,"")</f>
      </c>
    </row>
    <row r="123">
      <c r="A123" t="str">
        <v>ZBPIR5P</v>
      </c>
      <c r="B123" t="str">
        <v>無線保全</v>
      </c>
      <c r="C123">
        <f>COUNTIF(維修記錄!$C$4:$C$503,A123)</f>
      </c>
      <c r="D123">
        <f>COUNTIFS(維修記錄!$C$4:$C$503,A123,維修記錄!$W$4:$W$503,"Y")</f>
      </c>
      <c r="E123">
        <f>IFERROR(D123/C123,"")</f>
      </c>
    </row>
    <row r="124">
      <c r="A124" t="str">
        <v>ZBRT050</v>
      </c>
      <c r="B124" t="str">
        <v>無線保全</v>
      </c>
      <c r="C124">
        <f>COUNTIF(維修記錄!$C$4:$C$503,A124)</f>
      </c>
      <c r="D124">
        <f>COUNTIFS(維修記錄!$C$4:$C$503,A124,維修記錄!$W$4:$W$503,"Y")</f>
      </c>
      <c r="E124">
        <f>IFERROR(D124/C124,"")</f>
      </c>
    </row>
    <row r="125">
      <c r="A125" t="str">
        <v>ZBSD060</v>
      </c>
      <c r="B125" t="str">
        <v>無線保全</v>
      </c>
      <c r="C125">
        <f>COUNTIF(維修記錄!$C$4:$C$503,A125)</f>
      </c>
      <c r="D125">
        <f>COUNTIFS(維修記錄!$C$4:$C$503,A125,維修記錄!$W$4:$W$503,"Y")</f>
      </c>
      <c r="E125">
        <f>IFERROR(D125/C125,"")</f>
      </c>
    </row>
    <row r="126">
      <c r="A126" t="str">
        <v>ZBSPC40</v>
      </c>
      <c r="B126" t="str">
        <v>無線保全</v>
      </c>
      <c r="C126">
        <f>COUNTIF(維修記錄!$C$4:$C$503,A126)</f>
      </c>
      <c r="D126">
        <f>COUNTIFS(維修記錄!$C$4:$C$503,A126,維修記錄!$W$4:$W$503,"Y")</f>
      </c>
      <c r="E126">
        <f>IFERROR(D126/C126,"")</f>
      </c>
    </row>
    <row r="127">
      <c r="A127" t="str">
        <v>ZBSSL30</v>
      </c>
      <c r="B127" t="str">
        <v>無線保全</v>
      </c>
      <c r="C127">
        <f>COUNTIF(維修記錄!$C$4:$C$503,A127)</f>
      </c>
      <c r="D127">
        <f>COUNTIFS(維修記錄!$C$4:$C$503,A127,維修記錄!$W$4:$W$503,"Y")</f>
      </c>
      <c r="E127">
        <f>IFERROR(D127/C127,"")</f>
      </c>
    </row>
    <row r="128">
      <c r="A128" t="str">
        <v>ZBTG030</v>
      </c>
      <c r="B128" t="str">
        <v>無線保全</v>
      </c>
      <c r="C128">
        <f>COUNTIF(維修記錄!$C$4:$C$503,A128)</f>
      </c>
      <c r="D128">
        <f>COUNTIFS(維修記錄!$C$4:$C$503,A128,維修記錄!$W$4:$W$503,"Y")</f>
      </c>
      <c r="E128">
        <f>IFERROR(D128/C128,"")</f>
      </c>
    </row>
    <row r="129">
      <c r="A129" t="str">
        <v>ZBVOS10</v>
      </c>
      <c r="B129" t="str">
        <v>無線保全</v>
      </c>
      <c r="C129">
        <f>COUNTIF(維修記錄!$C$4:$C$503,A129)</f>
      </c>
      <c r="D129">
        <f>COUNTIFS(維修記錄!$C$4:$C$503,A129,維修記錄!$W$4:$W$503,"Y")</f>
      </c>
      <c r="E129">
        <f>IFERROR(D129/C129,"")</f>
      </c>
    </row>
    <row r="130">
      <c r="A130" t="str">
        <v>ZBVX41T</v>
      </c>
      <c r="B130" t="str">
        <v>無線保全</v>
      </c>
      <c r="C130">
        <f>COUNTIF(維修記錄!$C$4:$C$503,A130)</f>
      </c>
      <c r="D130">
        <f>COUNTIFS(維修記錄!$C$4:$C$503,A130,維修記錄!$W$4:$W$503,"Y")</f>
      </c>
      <c r="E130">
        <f>IFERROR(D130/C130,"")</f>
      </c>
    </row>
    <row r="131">
      <c r="A131" t="str">
        <v>ZBWD199</v>
      </c>
      <c r="B131" t="str">
        <v>無線保全</v>
      </c>
      <c r="C131">
        <f>COUNTIF(維修記錄!$C$4:$C$503,A131)</f>
      </c>
      <c r="D131">
        <f>COUNTIFS(維修記錄!$C$4:$C$503,A131,維修記錄!$W$4:$W$503,"Y")</f>
      </c>
      <c r="E131">
        <f>IFERROR(D131/C131,"")</f>
      </c>
    </row>
    <row r="132">
      <c r="A132" t="str">
        <v>ZBWSS20</v>
      </c>
      <c r="B132" t="str">
        <v>無線保全</v>
      </c>
      <c r="C132">
        <f>COUNTIF(維修記錄!$C$4:$C$503,A132)</f>
      </c>
      <c r="D132">
        <f>COUNTIFS(維修記錄!$C$4:$C$503,A132,維修記錄!$W$4:$W$503,"Y")</f>
      </c>
      <c r="E132">
        <f>IFERROR(D132/C132,"")</f>
      </c>
    </row>
    <row r="133">
      <c r="A133" t="str">
        <v>ZCT80VA</v>
      </c>
      <c r="B133" t="str">
        <v>無線保全</v>
      </c>
      <c r="C133">
        <f>COUNTIF(維修記錄!$C$4:$C$503,A133)</f>
      </c>
      <c r="D133">
        <f>COUNTIFS(維修記錄!$C$4:$C$503,A133,維修記錄!$W$4:$W$503,"Y")</f>
      </c>
      <c r="E133">
        <f>IFERROR(D133/C133,"")</f>
      </c>
    </row>
    <row r="134">
      <c r="A134" t="str">
        <v>ZCTE10A</v>
      </c>
      <c r="B134" t="str">
        <v>無線保全</v>
      </c>
      <c r="C134">
        <f>COUNTIF(維修記錄!$C$4:$C$503,A134)</f>
      </c>
      <c r="D134">
        <f>COUNTIFS(維修記錄!$C$4:$C$503,A134,維修記錄!$W$4:$W$503,"Y")</f>
      </c>
      <c r="E134">
        <f>IFERROR(D134/C134,"")</f>
      </c>
    </row>
    <row r="135">
      <c r="A135" t="str">
        <v>ZCTE20A</v>
      </c>
      <c r="B135" t="str">
        <v>無線保全</v>
      </c>
      <c r="C135">
        <f>COUNTIF(維修記錄!$C$4:$C$503,A135)</f>
      </c>
      <c r="D135">
        <f>COUNTIFS(維修記錄!$C$4:$C$503,A135,維修記錄!$W$4:$W$503,"Y")</f>
      </c>
      <c r="E135">
        <f>IFERROR(D135/C135,"")</f>
      </c>
    </row>
    <row r="136">
      <c r="A136" t="str">
        <v>ZSPMB31</v>
      </c>
      <c r="B136" t="str">
        <v>無線保全</v>
      </c>
      <c r="C136">
        <f>COUNTIF(維修記錄!$C$4:$C$503,A136)</f>
      </c>
      <c r="D136">
        <f>COUNTIFS(維修記錄!$C$4:$C$503,A136,維修記錄!$W$4:$W$503,"Y")</f>
      </c>
      <c r="E136">
        <f>IFERROR(D136/C136,"")</f>
      </c>
    </row>
    <row r="137">
      <c r="A137" t="str">
        <v>ZSPMB51</v>
      </c>
      <c r="B137" t="str">
        <v>無線保全</v>
      </c>
      <c r="C137">
        <f>COUNTIF(維修記錄!$C$4:$C$503,A137)</f>
      </c>
      <c r="D137">
        <f>COUNTIFS(維修記錄!$C$4:$C$503,A137,維修記錄!$W$4:$W$503,"Y")</f>
      </c>
      <c r="E137">
        <f>IFERROR(D137/C137,"")</f>
      </c>
    </row>
    <row r="138">
      <c r="A138" t="str">
        <v>ZSPMG22</v>
      </c>
      <c r="B138" t="str">
        <v>無線保全</v>
      </c>
      <c r="C138">
        <f>COUNTIF(維修記錄!$C$4:$C$503,A138)</f>
      </c>
      <c r="D138">
        <f>COUNTIFS(維修記錄!$C$4:$C$503,A138,維修記錄!$W$4:$W$503,"Y")</f>
      </c>
      <c r="E138">
        <f>IFERROR(D138/C138,"")</f>
      </c>
    </row>
    <row r="139">
      <c r="A139" t="str">
        <v>ZSPMG31</v>
      </c>
      <c r="B139" t="str">
        <v>無線保全</v>
      </c>
      <c r="C139">
        <f>COUNTIF(維修記錄!$C$4:$C$503,A139)</f>
      </c>
      <c r="D139">
        <f>COUNTIFS(維修記錄!$C$4:$C$503,A139,維修記錄!$W$4:$W$503,"Y")</f>
      </c>
      <c r="E139">
        <f>IFERROR(D139/C139,"")</f>
      </c>
    </row>
    <row r="140">
      <c r="A140" t="str">
        <v>ZSPMG51</v>
      </c>
      <c r="B140" t="str">
        <v>無線保全</v>
      </c>
      <c r="C140">
        <f>COUNTIF(維修記錄!$C$4:$C$503,A140)</f>
      </c>
      <c r="D140">
        <f>COUNTIFS(維修記錄!$C$4:$C$503,A140,維修記錄!$W$4:$W$503,"Y")</f>
      </c>
      <c r="E140">
        <f>IFERROR(D140/C140,"")</f>
      </c>
    </row>
    <row r="141">
      <c r="A141" t="str">
        <v>ZWDIO20</v>
      </c>
      <c r="B141" t="str">
        <v>無線保全</v>
      </c>
      <c r="C141">
        <f>COUNTIF(維修記錄!$C$4:$C$503,A141)</f>
      </c>
      <c r="D141">
        <f>COUNTIFS(維修記錄!$C$4:$C$503,A141,維修記錄!$W$4:$W$503,"Y")</f>
      </c>
      <c r="E141">
        <f>IFERROR(D141/C141,"")</f>
      </c>
    </row>
    <row r="142">
      <c r="A142" t="str">
        <v>MS0M043</v>
      </c>
      <c r="B142" t="str">
        <v>車機系統</v>
      </c>
      <c r="C142">
        <f>COUNTIF(維修記錄!$C$4:$C$503,A142)</f>
      </c>
      <c r="D142">
        <f>COUNTIFS(維修記錄!$C$4:$C$503,A142,維修記錄!$W$4:$W$503,"Y")</f>
      </c>
      <c r="E142">
        <f>IFERROR(D142/C142,"")</f>
      </c>
    </row>
    <row r="143">
      <c r="A143" t="str">
        <v>MSM0801</v>
      </c>
      <c r="B143" t="str">
        <v>車機系統</v>
      </c>
      <c r="C143">
        <f>COUNTIF(維修記錄!$C$4:$C$503,A143)</f>
      </c>
      <c r="D143">
        <f>COUNTIFS(維修記錄!$C$4:$C$503,A143,維修記錄!$W$4:$W$503,"Y")</f>
      </c>
      <c r="E143">
        <f>IFERROR(D143/C143,"")</f>
      </c>
    </row>
    <row r="144">
      <c r="A144" t="str">
        <v>MSM0810</v>
      </c>
      <c r="B144" t="str">
        <v>車機系統</v>
      </c>
      <c r="C144">
        <f>COUNTIF(維修記錄!$C$4:$C$503,A144)</f>
      </c>
      <c r="D144">
        <f>COUNTIFS(維修記錄!$C$4:$C$503,A144,維修記錄!$W$4:$W$503,"Y")</f>
      </c>
      <c r="E144">
        <f>IFERROR(D144/C144,"")</f>
      </c>
    </row>
    <row r="145">
      <c r="A145" t="str">
        <v>MSM1201</v>
      </c>
      <c r="B145" t="str">
        <v>車機系統</v>
      </c>
      <c r="C145">
        <f>COUNTIF(維修記錄!$C$4:$C$503,A145)</f>
      </c>
      <c r="D145">
        <f>COUNTIFS(維修記錄!$C$4:$C$503,A145,維修記錄!$W$4:$W$503,"Y")</f>
      </c>
      <c r="E145">
        <f>IFERROR(D145/C145,"")</f>
      </c>
    </row>
    <row r="146">
      <c r="A146" t="str">
        <v>MSM1301</v>
      </c>
      <c r="B146" t="str">
        <v>車機系統</v>
      </c>
      <c r="C146">
        <f>COUNTIF(維修記錄!$C$4:$C$503,A146)</f>
      </c>
      <c r="D146">
        <f>COUNTIFS(維修記錄!$C$4:$C$503,A146,維修記錄!$W$4:$W$503,"Y")</f>
      </c>
      <c r="E146">
        <f>IFERROR(D146/C146,"")</f>
      </c>
    </row>
    <row r="147">
      <c r="A147" t="str">
        <v>MSV0201</v>
      </c>
      <c r="B147" t="str">
        <v>車機系統</v>
      </c>
      <c r="C147">
        <f>COUNTIF(維修記錄!$C$4:$C$503,A147)</f>
      </c>
      <c r="D147">
        <f>COUNTIFS(維修記錄!$C$4:$C$503,A147,維修記錄!$W$4:$W$503,"Y")</f>
      </c>
      <c r="E147">
        <f>IFERROR(D147/C147,"")</f>
      </c>
    </row>
    <row r="148">
      <c r="A148" t="str">
        <v>MSV0402</v>
      </c>
      <c r="B148" t="str">
        <v>車機系統</v>
      </c>
      <c r="C148">
        <f>COUNTIF(維修記錄!$C$4:$C$503,A148)</f>
      </c>
      <c r="D148">
        <f>COUNTIFS(維修記錄!$C$4:$C$503,A148,維修記錄!$W$4:$W$503,"Y")</f>
      </c>
      <c r="E148">
        <f>IFERROR(D148/C148,"")</f>
      </c>
    </row>
    <row r="149">
      <c r="A149" t="str">
        <v>MSV0502</v>
      </c>
      <c r="B149" t="str">
        <v>車機系統</v>
      </c>
      <c r="C149">
        <f>COUNTIF(維修記錄!$C$4:$C$503,A149)</f>
      </c>
      <c r="D149">
        <f>COUNTIFS(維修記錄!$C$4:$C$503,A149,維修記錄!$W$4:$W$503,"Y")</f>
      </c>
      <c r="E149">
        <f>IFERROR(D149/C149,"")</f>
      </c>
    </row>
    <row r="150">
      <c r="A150" t="str">
        <v>TPS0041</v>
      </c>
      <c r="B150" t="str">
        <v>車機系統</v>
      </c>
      <c r="C150">
        <f>COUNTIF(維修記錄!$C$4:$C$503,A150)</f>
      </c>
      <c r="D150">
        <f>COUNTIFS(維修記錄!$C$4:$C$503,A150,維修記錄!$W$4:$W$503,"Y")</f>
      </c>
      <c r="E150">
        <f>IFERROR(D150/C150,"")</f>
      </c>
    </row>
    <row r="151">
      <c r="A151" t="str">
        <v>TPS0061</v>
      </c>
      <c r="B151" t="str">
        <v>車機系統</v>
      </c>
      <c r="C151">
        <f>COUNTIF(維修記錄!$C$4:$C$503,A151)</f>
      </c>
      <c r="D151">
        <f>COUNTIFS(維修記錄!$C$4:$C$503,A151,維修記錄!$W$4:$W$503,"Y")</f>
      </c>
      <c r="E151">
        <f>IFERROR(D151/C151,"")</f>
      </c>
    </row>
    <row r="152">
      <c r="A152" t="str">
        <v>TPS0071</v>
      </c>
      <c r="B152" t="str">
        <v>車機系統</v>
      </c>
      <c r="C152">
        <f>COUNTIF(維修記錄!$C$4:$C$503,A152)</f>
      </c>
      <c r="D152">
        <f>COUNTIFS(維修記錄!$C$4:$C$503,A152,維修記錄!$W$4:$W$503,"Y")</f>
      </c>
      <c r="E152">
        <f>IFERROR(D152/C152,"")</f>
      </c>
    </row>
    <row r="153">
      <c r="A153" t="str">
        <v>TPAD054</v>
      </c>
      <c r="B153" t="str">
        <v>車機系統</v>
      </c>
      <c r="C153">
        <f>COUNTIF(維修記錄!$C$4:$C$503,A153)</f>
      </c>
      <c r="D153">
        <f>COUNTIFS(維修記錄!$C$4:$C$503,A153,維修記錄!$W$4:$W$503,"Y")</f>
      </c>
      <c r="E153">
        <f>IFERROR(D153/C153,"")</f>
      </c>
    </row>
    <row r="154">
      <c r="A154" t="str">
        <v>TPAD055</v>
      </c>
      <c r="B154" t="str">
        <v>車機系統</v>
      </c>
      <c r="C154">
        <f>COUNTIF(維修記錄!$C$4:$C$503,A154)</f>
      </c>
      <c r="D154">
        <f>COUNTIFS(維修記錄!$C$4:$C$503,A154,維修記錄!$W$4:$W$503,"Y")</f>
      </c>
      <c r="E154">
        <f>IFERROR(D154/C154,"")</f>
      </c>
    </row>
    <row r="155">
      <c r="A155" t="str">
        <v>AED0501</v>
      </c>
      <c r="B155" t="str">
        <v>AED</v>
      </c>
      <c r="C155">
        <f>COUNTIF(維修記錄!$C$4:$C$503,A155)</f>
      </c>
      <c r="D155">
        <f>COUNTIFS(維修記錄!$C$4:$C$503,A155,維修記錄!$W$4:$W$503,"Y")</f>
      </c>
      <c r="E155">
        <f>IFERROR(D155/C155,"")</f>
      </c>
    </row>
    <row r="156">
      <c r="A156" t="str">
        <v>AED4G10</v>
      </c>
      <c r="B156" t="str">
        <v>AED</v>
      </c>
      <c r="C156">
        <f>COUNTIF(維修記錄!$C$4:$C$503,A156)</f>
      </c>
      <c r="D156">
        <f>COUNTIFS(維修記錄!$C$4:$C$503,A156,維修記錄!$W$4:$W$503,"Y")</f>
      </c>
      <c r="E156">
        <f>IFERROR(D156/C156,"")</f>
      </c>
    </row>
    <row r="157">
      <c r="A157" t="str">
        <v>AED4G20</v>
      </c>
      <c r="B157" t="str">
        <v>AED</v>
      </c>
      <c r="C157">
        <f>COUNTIF(維修記錄!$C$4:$C$503,A157)</f>
      </c>
      <c r="D157">
        <f>COUNTIFS(維修記錄!$C$4:$C$503,A157,維修記錄!$W$4:$W$503,"Y")</f>
      </c>
      <c r="E157">
        <f>IFERROR(D157/C157,"")</f>
      </c>
    </row>
    <row r="158">
      <c r="A158" t="str">
        <v>AED4G30</v>
      </c>
      <c r="B158" t="str">
        <v>AED</v>
      </c>
      <c r="C158">
        <f>COUNTIF(維修記錄!$C$4:$C$503,A158)</f>
      </c>
      <c r="D158">
        <f>COUNTIFS(維修記錄!$C$4:$C$503,A158,維修記錄!$W$4:$W$503,"Y")</f>
      </c>
      <c r="E158">
        <f>IFERROR(D158/C158,"")</f>
      </c>
    </row>
    <row r="159">
      <c r="A159" t="str">
        <v>AED4G40</v>
      </c>
      <c r="B159" t="str">
        <v>AED</v>
      </c>
      <c r="C159">
        <f>COUNTIF(維修記錄!$C$4:$C$503,A159)</f>
      </c>
      <c r="D159">
        <f>COUNTIFS(維修記錄!$C$4:$C$503,A159,維修記錄!$W$4:$W$503,"Y")</f>
      </c>
      <c r="E159">
        <f>IFERROR(D159/C159,"")</f>
      </c>
    </row>
    <row r="160">
      <c r="A160" t="str">
        <v>OPC002C</v>
      </c>
      <c r="B160" t="str">
        <v>門禁</v>
      </c>
      <c r="C160">
        <f>COUNTIF(維修記錄!$C$4:$C$503,A160)</f>
      </c>
      <c r="D160">
        <f>COUNTIFS(維修記錄!$C$4:$C$503,A160,維修記錄!$W$4:$W$503,"Y")</f>
      </c>
      <c r="E160">
        <f>IFERROR(D160/C160,"")</f>
      </c>
    </row>
    <row r="161">
      <c r="A161" t="str">
        <v>OPC003C</v>
      </c>
      <c r="B161" t="str">
        <v>門禁</v>
      </c>
      <c r="C161">
        <f>COUNTIF(維修記錄!$C$4:$C$503,A161)</f>
      </c>
      <c r="D161">
        <f>COUNTIFS(維修記錄!$C$4:$C$503,A161,維修記錄!$W$4:$W$503,"Y")</f>
      </c>
      <c r="E161">
        <f>IFERROR(D161/C161,"")</f>
      </c>
    </row>
    <row r="162">
      <c r="A162" t="str">
        <v>OPC0050</v>
      </c>
      <c r="B162" t="str">
        <v>門禁</v>
      </c>
      <c r="C162">
        <f>COUNTIF(維修記錄!$C$4:$C$503,A162)</f>
      </c>
      <c r="D162">
        <f>COUNTIFS(維修記錄!$C$4:$C$503,A162,維修記錄!$W$4:$W$503,"Y")</f>
      </c>
      <c r="E162">
        <f>IFERROR(D162/C162,"")</f>
      </c>
    </row>
    <row r="163">
      <c r="A163" t="str">
        <v>OPC1050</v>
      </c>
      <c r="B163" t="str">
        <v>門禁</v>
      </c>
      <c r="C163">
        <f>COUNTIF(維修記錄!$C$4:$C$503,A163)</f>
      </c>
      <c r="D163">
        <f>COUNTIFS(維修記錄!$C$4:$C$503,A163,維修記錄!$W$4:$W$503,"Y")</f>
      </c>
      <c r="E163">
        <f>IFERROR(D163/C163,"")</f>
      </c>
    </row>
    <row r="166">
      <c r="A166" t="str">
        <v>▌ 故障原因大類分布</v>
      </c>
    </row>
    <row r="167">
      <c r="A167" t="str">
        <v>故障原因</v>
      </c>
      <c r="B167" t="str">
        <v>件數</v>
      </c>
      <c r="C167" t="str">
        <v>佔比</v>
      </c>
    </row>
    <row r="168">
      <c r="A168" t="str">
        <v>電源系統</v>
      </c>
      <c r="B168">
        <f>COUNTIF(維修記錄!$J$4:$J$503,A168)</f>
      </c>
      <c r="C168">
        <f>IFERROR(B168/COUNTA(維修記錄!$D$4:$D$503),"")</f>
      </c>
    </row>
    <row r="169">
      <c r="A169" t="str">
        <v>主板PCB</v>
      </c>
      <c r="B169">
        <f>COUNTIF(維修記錄!$J$4:$J$503,A169)</f>
      </c>
      <c r="C169">
        <f>IFERROR(B169/COUNTA(維修記錄!$D$4:$D$503),"")</f>
      </c>
    </row>
    <row r="170">
      <c r="A170" t="str">
        <v>顯示螢幕</v>
      </c>
      <c r="B170">
        <f>COUNTIF(維修記錄!$J$4:$J$503,A170)</f>
      </c>
      <c r="C170">
        <f>IFERROR(B170/COUNTA(維修記錄!$D$4:$D$503),"")</f>
      </c>
    </row>
    <row r="171">
      <c r="A171" t="str">
        <v>儲存記憶</v>
      </c>
      <c r="B171">
        <f>COUNTIF(維修記錄!$J$4:$J$503,A171)</f>
      </c>
      <c r="C171">
        <f>IFERROR(B171/COUNTA(維修記錄!$D$4:$D$503),"")</f>
      </c>
    </row>
    <row r="172">
      <c r="A172" t="str">
        <v>感測鏡頭</v>
      </c>
      <c r="B172">
        <f>COUNTIF(維修記錄!$J$4:$J$503,A172)</f>
      </c>
      <c r="C172">
        <f>IFERROR(B172/COUNTA(維修記錄!$D$4:$D$503),"")</f>
      </c>
    </row>
    <row r="173">
      <c r="A173" t="str">
        <v>機構外觀</v>
      </c>
      <c r="B173">
        <f>COUNTIF(維修記錄!$J$4:$J$503,A173)</f>
      </c>
      <c r="C173">
        <f>IFERROR(B173/COUNTA(維修記錄!$D$4:$D$503),"")</f>
      </c>
    </row>
    <row r="174">
      <c r="A174" t="str">
        <v>通訊網路</v>
      </c>
      <c r="B174">
        <f>COUNTIF(維修記錄!$J$4:$J$503,A174)</f>
      </c>
      <c r="C174">
        <f>IFERROR(B174/COUNTA(維修記錄!$D$4:$D$503),"")</f>
      </c>
    </row>
    <row r="175">
      <c r="A175" t="str">
        <v>韌體軟體</v>
      </c>
      <c r="B175">
        <f>COUNTIF(維修記錄!$J$4:$J$503,A175)</f>
      </c>
      <c r="C175">
        <f>IFERROR(B175/COUNTA(維修記錄!$D$4:$D$503),"")</f>
      </c>
    </row>
    <row r="176">
      <c r="A176" t="str">
        <v>運輸損傷</v>
      </c>
      <c r="B176">
        <f>COUNTIF(維修記錄!$J$4:$J$503,A176)</f>
      </c>
      <c r="C176">
        <f>IFERROR(B176/COUNTA(維修記錄!$D$4:$D$503),"")</f>
      </c>
    </row>
    <row r="177">
      <c r="A177" t="str">
        <v>電磁靜電</v>
      </c>
      <c r="B177">
        <f>COUNTIF(維修記錄!$J$4:$J$503,A177)</f>
      </c>
      <c r="C177">
        <f>IFERROR(B177/COUNTA(維修記錄!$D$4:$D$503),"")</f>
      </c>
    </row>
  </sheetData>
  <ignoredErrors>
    <ignoredError numberStoredAsText="1" sqref="A1:F18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cols>
    <col min="1" max="1" width="16.83203125" customWidth="1"/>
    <col min="2" max="2" width="22.83203125" customWidth="1"/>
    <col min="3" max="3" width="30.83203125" customWidth="1"/>
  </cols>
  <sheetData>
    <row r="1">
      <c r="A1" t="str">
        <v>代碼前綴(數字)</v>
      </c>
      <c r="B1" t="str">
        <v>大類名稱</v>
      </c>
    </row>
    <row r="2">
      <c r="A2">
        <v>3</v>
      </c>
      <c r="B2" t="str">
        <v>半成品</v>
      </c>
    </row>
    <row r="3">
      <c r="A3">
        <v>5</v>
      </c>
      <c r="B3" t="str">
        <v>成品</v>
      </c>
    </row>
    <row r="4">
      <c r="A4">
        <v>6</v>
      </c>
      <c r="B4" t="str">
        <v>回收</v>
      </c>
    </row>
    <row r="5">
      <c r="A5">
        <v>7</v>
      </c>
      <c r="B5" t="str">
        <v>測試</v>
      </c>
    </row>
    <row r="6">
      <c r="A6">
        <v>8</v>
      </c>
      <c r="B6" t="str">
        <v>代工</v>
      </c>
    </row>
    <row r="7">
      <c r="A7">
        <v>9</v>
      </c>
      <c r="B7" t="str">
        <v>外包</v>
      </c>
    </row>
    <row r="8">
      <c r="A8">
        <v>101</v>
      </c>
      <c r="B8" t="str">
        <v>電阻</v>
      </c>
    </row>
    <row r="9">
      <c r="A9">
        <v>102</v>
      </c>
      <c r="B9" t="str">
        <v>電晶體</v>
      </c>
    </row>
    <row r="10">
      <c r="A10">
        <v>103</v>
      </c>
      <c r="B10" t="str">
        <v>二極體</v>
      </c>
    </row>
    <row r="11">
      <c r="A11">
        <v>104</v>
      </c>
      <c r="B11" t="str">
        <v>基版</v>
      </c>
    </row>
    <row r="12">
      <c r="A12">
        <v>105</v>
      </c>
      <c r="B12" t="str">
        <v>電容</v>
      </c>
    </row>
    <row r="13">
      <c r="A13">
        <v>106</v>
      </c>
      <c r="B13" t="str">
        <v>線圈</v>
      </c>
    </row>
    <row r="14">
      <c r="A14">
        <v>107</v>
      </c>
      <c r="B14" t="str">
        <v>積體電路</v>
      </c>
    </row>
    <row r="15">
      <c r="A15">
        <v>108</v>
      </c>
      <c r="B15" t="str">
        <v>繼電器</v>
      </c>
    </row>
    <row r="16">
      <c r="A16">
        <v>109</v>
      </c>
      <c r="B16" t="str">
        <v>保險絲</v>
      </c>
    </row>
    <row r="17">
      <c r="A17">
        <v>110</v>
      </c>
      <c r="B17" t="str">
        <v>開關</v>
      </c>
    </row>
    <row r="18">
      <c r="A18">
        <v>111</v>
      </c>
      <c r="B18" t="str">
        <v>顯示器</v>
      </c>
    </row>
    <row r="19">
      <c r="A19">
        <v>112</v>
      </c>
      <c r="B19" t="str">
        <v>端子台</v>
      </c>
    </row>
    <row r="20">
      <c r="A20">
        <v>113</v>
      </c>
      <c r="B20" t="str">
        <v>磁鐵/磁頭</v>
      </c>
    </row>
    <row r="21">
      <c r="A21">
        <v>114</v>
      </c>
      <c r="B21" t="str">
        <v>喇叭蜂鳴器</v>
      </c>
    </row>
    <row r="22">
      <c r="A22">
        <v>115</v>
      </c>
      <c r="B22" t="str">
        <v>電池</v>
      </c>
    </row>
    <row r="23">
      <c r="A23">
        <v>116</v>
      </c>
      <c r="B23" t="str">
        <v>排線</v>
      </c>
    </row>
    <row r="24">
      <c r="A24">
        <v>117</v>
      </c>
      <c r="B24" t="str">
        <v>連接器</v>
      </c>
    </row>
    <row r="25">
      <c r="A25">
        <v>118</v>
      </c>
      <c r="B25" t="str">
        <v>POWER電源</v>
      </c>
    </row>
    <row r="26">
      <c r="A26">
        <v>119</v>
      </c>
      <c r="B26" t="str">
        <v>突波/避雷器</v>
      </c>
    </row>
    <row r="27">
      <c r="A27">
        <v>120</v>
      </c>
      <c r="B27" t="str">
        <v>石英振盪器</v>
      </c>
    </row>
    <row r="28">
      <c r="A28">
        <v>121</v>
      </c>
      <c r="B28" t="str">
        <v>貼紙類</v>
      </c>
    </row>
    <row r="29">
      <c r="A29">
        <v>122</v>
      </c>
      <c r="B29" t="str">
        <v>壓克力</v>
      </c>
    </row>
    <row r="30">
      <c r="A30">
        <v>123</v>
      </c>
      <c r="B30" t="str">
        <v>面板(PVC)</v>
      </c>
    </row>
    <row r="31">
      <c r="A31">
        <v>124</v>
      </c>
      <c r="B31" t="str">
        <v>隔離柱/墊片/套管</v>
      </c>
    </row>
    <row r="32">
      <c r="A32">
        <v>125</v>
      </c>
      <c r="B32" t="str">
        <v>包裝類</v>
      </c>
    </row>
    <row r="33">
      <c r="A33">
        <v>126</v>
      </c>
      <c r="B33" t="str">
        <v>橡膠類</v>
      </c>
    </row>
    <row r="34">
      <c r="A34">
        <v>127</v>
      </c>
      <c r="B34" t="str">
        <v>塑膠類</v>
      </c>
    </row>
    <row r="35">
      <c r="A35">
        <v>128</v>
      </c>
      <c r="B35" t="str">
        <v>五金類</v>
      </c>
    </row>
    <row r="36">
      <c r="A36">
        <v>129</v>
      </c>
      <c r="B36" t="str">
        <v>鐵類</v>
      </c>
    </row>
    <row r="37">
      <c r="A37">
        <v>130</v>
      </c>
      <c r="B37" t="str">
        <v>螺絲類</v>
      </c>
    </row>
    <row r="38">
      <c r="A38">
        <v>131</v>
      </c>
      <c r="B38" t="str">
        <v>化學類</v>
      </c>
    </row>
    <row r="39">
      <c r="A39">
        <v>132</v>
      </c>
      <c r="B39" t="str">
        <v>外購基板成品</v>
      </c>
    </row>
    <row r="40">
      <c r="A40">
        <v>133</v>
      </c>
      <c r="B40" t="str">
        <v>外購品維修零件</v>
      </c>
    </row>
    <row r="41">
      <c r="A41">
        <v>134</v>
      </c>
      <c r="B41" t="str">
        <v>外購機構料</v>
      </c>
    </row>
    <row r="42">
      <c r="A42">
        <v>139</v>
      </c>
      <c r="B42" t="str">
        <v>虛擬品號</v>
      </c>
    </row>
    <row r="43">
      <c r="A43">
        <v>201</v>
      </c>
      <c r="B43" t="str">
        <v>SMD電阻</v>
      </c>
    </row>
    <row r="44">
      <c r="A44">
        <v>202</v>
      </c>
      <c r="B44" t="str">
        <v>SMD電晶體</v>
      </c>
    </row>
    <row r="45">
      <c r="A45">
        <v>203</v>
      </c>
      <c r="B45" t="str">
        <v>SMD二極體</v>
      </c>
    </row>
    <row r="46">
      <c r="A46">
        <v>205</v>
      </c>
      <c r="B46" t="str">
        <v>SMD電容</v>
      </c>
    </row>
    <row r="47">
      <c r="A47">
        <v>206</v>
      </c>
      <c r="B47" t="str">
        <v>SMD線圈</v>
      </c>
    </row>
    <row r="48">
      <c r="A48">
        <v>207</v>
      </c>
      <c r="B48" t="str">
        <v>SMD積體電路</v>
      </c>
    </row>
    <row r="49">
      <c r="A49">
        <v>209</v>
      </c>
      <c r="B49" t="str">
        <v>SMD保險絲</v>
      </c>
    </row>
    <row r="50">
      <c r="A50">
        <v>210</v>
      </c>
      <c r="B50" t="str">
        <v>SMD開關</v>
      </c>
    </row>
    <row r="51">
      <c r="A51">
        <v>211</v>
      </c>
      <c r="B51" t="str">
        <v>SMD顯示器</v>
      </c>
    </row>
    <row r="52">
      <c r="A52">
        <v>217</v>
      </c>
      <c r="B52" t="str">
        <v>SMD連接器</v>
      </c>
    </row>
    <row r="53">
      <c r="A53">
        <v>219</v>
      </c>
      <c r="B53" t="str">
        <v>SMD突波/避雷器</v>
      </c>
    </row>
    <row r="54">
      <c r="A54">
        <v>220</v>
      </c>
      <c r="B54" t="str">
        <v>SMD石英振盪器</v>
      </c>
    </row>
    <row r="55">
      <c r="A55">
        <v>221</v>
      </c>
      <c r="B55" t="str">
        <v>喇叭蜂鳴器/麥克風</v>
      </c>
    </row>
    <row r="59">
      <c r="A59" t="str">
        <v>────完整料號清冊（從ERP貼入，解鎖精確品名顯示）────</v>
      </c>
    </row>
    <row r="60">
      <c r="A60" t="str">
        <v>完整料號</v>
      </c>
      <c r="B60" t="str">
        <v>品名</v>
      </c>
      <c r="C60" t="str">
        <v>規格/說明</v>
      </c>
    </row>
    <row r="61">
      <c r="A61" t="str">
        <v>(從ERP匯出後貼入此區)</v>
      </c>
    </row>
    <row r="62">
      <c r="A62" t="str">
        <v>(從ERP匯出後貼入此區)</v>
      </c>
    </row>
    <row r="63">
      <c r="A63" t="str">
        <v>(從ERP匯出後貼入此區)</v>
      </c>
    </row>
  </sheetData>
  <ignoredErrors>
    <ignoredError numberStoredAsText="1" sqref="A1:C11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26"/>
  <sheetViews>
    <sheetView workbookViewId="0"/>
  </sheetViews>
  <cols>
    <col min="1" max="1" width="14.83203125" customWidth="1"/>
    <col min="2" max="2" width="16.83203125" customWidth="1"/>
    <col min="3" max="3" width="12.83203125" customWidth="1"/>
    <col min="4" max="4" width="14.83203125" customWidth="1"/>
  </cols>
  <sheetData>
    <row r="1">
      <c r="A1" t="str">
        <v>系品大類</v>
      </c>
      <c r="B1" t="str">
        <v>器材品號</v>
      </c>
      <c r="C1" t="str">
        <v>月份</v>
      </c>
      <c r="D1" t="str">
        <v>整新出廠數量</v>
      </c>
    </row>
    <row r="2">
      <c r="A2" t="str">
        <v>如：車機系統</v>
      </c>
      <c r="B2" t="str">
        <v>如：MSM0801</v>
      </c>
      <c r="C2" t="str">
        <v>格式 YYYY-MM</v>
      </c>
      <c r="D2" t="str">
        <v>當月整新出廠總數</v>
      </c>
    </row>
    <row r="3">
      <c r="A3" t="str">
        <v>車機系統</v>
      </c>
      <c r="B3" t="str">
        <v>MSM0801</v>
      </c>
      <c r="C3" t="str">
        <v>2026-04</v>
      </c>
      <c r="D3">
        <v>120</v>
      </c>
    </row>
    <row r="4">
      <c r="A4" t="str">
        <v>車機系統</v>
      </c>
      <c r="B4" t="str">
        <v>MSM1201</v>
      </c>
      <c r="C4" t="str">
        <v>2026-04</v>
      </c>
      <c r="D4">
        <v>85</v>
      </c>
    </row>
    <row r="5">
      <c r="A5" t="str">
        <v>監視器</v>
      </c>
      <c r="B5" t="str">
        <v>IP43A3Z</v>
      </c>
      <c r="C5" t="str">
        <v>2026-04</v>
      </c>
      <c r="D5">
        <v>60</v>
      </c>
    </row>
    <row r="6">
      <c r="A6" t="str">
        <v>傳統保全</v>
      </c>
      <c r="B6" t="str">
        <v>SPM0051</v>
      </c>
      <c r="C6" t="str">
        <v>2026-04</v>
      </c>
      <c r="D6">
        <v>45</v>
      </c>
    </row>
  </sheetData>
  <ignoredErrors>
    <ignoredError numberStoredAsText="1" sqref="A1:D2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44"/>
  <sheetViews>
    <sheetView workbookViewId="0"/>
  </sheetViews>
  <cols>
    <col min="1" max="1" width="80.83203125" customWidth="1"/>
  </cols>
  <sheetData>
    <row r="1">
      <c r="A1" t="str">
        <v>TITAN-STAR 維修記錄填寫說明 v3</v>
      </c>
    </row>
    <row r="2">
      <c r="A2" t="str">
        <v/>
      </c>
    </row>
    <row r="3">
      <c r="A3" t="str">
        <v>★ 必填（共6欄）：接收日期、檢修日期、器材品號、機器序號、故障原因、故障內容、是否報廢</v>
      </c>
    </row>
    <row r="4">
      <c r="A4" t="str">
        <v>☆ 重要（強烈建議填）：製令品號、製造日期、故障零件一、數量一</v>
      </c>
    </row>
    <row r="5">
      <c r="A5" t="str">
        <v xml:space="preserve">  選填：其餘欄位，有填有對應進階分析</v>
      </c>
    </row>
    <row r="6">
      <c r="A6" t="str">
        <v/>
      </c>
    </row>
    <row r="7">
      <c r="A7" t="str">
        <v>─────────────────────────────────────────────</v>
      </c>
    </row>
    <row r="8">
      <c r="A8" t="str">
        <v>【器材品號】</v>
      </c>
    </row>
    <row r="9">
      <c r="A9" t="str">
        <v xml:space="preserve">  點選欄位後，右側會出現下拉箭頭，從清單選擇品號。</v>
      </c>
    </row>
    <row r="10">
      <c r="A10" t="str">
        <v xml:space="preserve">  若本月維修品項清單沒有，直接輸入品號即可（系統接受新品號）。</v>
      </c>
    </row>
    <row r="11">
      <c r="A11" t="str">
        <v xml:space="preserve">  如需讓新品號出現在下拉清單，請至「機種清冊」工作表，在對應大類下方空白列填入品號。</v>
      </c>
    </row>
    <row r="12">
      <c r="A12" t="str">
        <v/>
      </c>
    </row>
    <row r="13">
      <c r="A13" t="str">
        <v>【製令品號格式】</v>
      </c>
    </row>
    <row r="14">
      <c r="A14" t="str">
        <v xml:space="preserve">  格式：YYMMDD + 3碼序號 = 共9位數字</v>
      </c>
    </row>
    <row r="15">
      <c r="A15" t="str">
        <v xml:space="preserve">  範例：250410057 = 2025年04月10日、第057批次</v>
      </c>
    </row>
    <row r="16">
      <c r="A16" t="str">
        <v xml:space="preserve">  ※ 格式不對系統會彈出提示，請修正後繼續</v>
      </c>
    </row>
    <row r="17">
      <c r="A17" t="str">
        <v/>
      </c>
    </row>
    <row r="18">
      <c r="A18" t="str">
        <v>【故障原因（10大類）】</v>
      </c>
    </row>
    <row r="19">
      <c r="A19" t="str">
        <v xml:space="preserve">  電源系統  → 無法開機、電壓異常、過熱、電源板故障</v>
      </c>
    </row>
    <row r="20">
      <c r="A20" t="str">
        <v xml:space="preserve">  主板PCB   → 主機板故障、元件損壞、電路短路</v>
      </c>
    </row>
    <row r="21">
      <c r="A21" t="str">
        <v xml:space="preserve">  顯示螢幕  → 不顯示、黑屏、顯示異常</v>
      </c>
    </row>
    <row r="22">
      <c r="A22" t="str">
        <v xml:space="preserve">  儲存記憶  → SD卡、硬碟、記憶體、資料遺失</v>
      </c>
    </row>
    <row r="23">
      <c r="A23" t="str">
        <v xml:space="preserve">  感測鏡頭  → 攝影機、PIR感測、麥克風故障</v>
      </c>
    </row>
    <row r="24">
      <c r="A24" t="str">
        <v xml:space="preserve">  機構外觀  → 外殼破裂、按鍵失效、接頭鬆動</v>
      </c>
    </row>
    <row r="25">
      <c r="A25" t="str">
        <v xml:space="preserve">  通訊網路  → 網路斷線、Wi-Fi/藍牙、通訊模組</v>
      </c>
    </row>
    <row r="26">
      <c r="A26" t="str">
        <v xml:space="preserve">  韌體軟體  → 當機、更新失敗、功能異常</v>
      </c>
    </row>
    <row r="27">
      <c r="A27" t="str">
        <v xml:space="preserve">  運輸損傷  → 外包裝完整但內部受損、掉落撞傷</v>
      </c>
    </row>
    <row r="28">
      <c r="A28" t="str">
        <v xml:space="preserve">  電磁靜電  → ESD靜電、雷擊突波、EMI干擾</v>
      </c>
    </row>
    <row r="29">
      <c r="A29" t="str">
        <v/>
      </c>
    </row>
    <row r="30">
      <c r="A30" t="str">
        <v>【料號自動帶出】</v>
      </c>
    </row>
    <row r="31">
      <c r="A31" t="str">
        <v xml:space="preserve">  「故障零件一/二/三」填入料號（如 2170064），</v>
      </c>
    </row>
    <row r="32">
      <c r="A32" t="str">
        <v xml:space="preserve">  右側「大類」欄自動顯示名稱（如「SMD連接器」）。</v>
      </c>
    </row>
    <row r="33">
      <c r="A33" t="str">
        <v xml:space="preserve">  若要顯示完整品名，請將ERP料號清冊貼入「料號對照」工作表的指定區域。</v>
      </c>
    </row>
    <row r="34">
      <c r="A34" t="str">
        <v/>
      </c>
    </row>
    <row r="35">
      <c r="A35" t="str">
        <v>【NTF（無法重現）說明】</v>
      </c>
    </row>
    <row r="36">
      <c r="A36" t="str">
        <v xml:space="preserve">  故障再現性選「NTF(無法重現)」表示在廠內無法重現客戶反映的問題。</v>
      </c>
    </row>
    <row r="37">
      <c r="A37" t="str">
        <v xml:space="preserve">  NTF比例高（&gt;15%）代表診斷流程或客戶操作問題，QA應追蹤改善。</v>
      </c>
    </row>
    <row r="38">
      <c r="A38" t="str">
        <v/>
      </c>
    </row>
    <row r="39">
      <c r="A39" t="str">
        <v>【每月上傳步驟】</v>
      </c>
    </row>
    <row r="40">
      <c r="A40" t="str">
        <v xml:space="preserve">  1. 月底確認所有維修紀錄填寫完整（特別注意製令品號欄）</v>
      </c>
    </row>
    <row r="41">
      <c r="A41" t="str">
        <v xml:space="preserve">  2. 存檔（建議命名：2026-04 維修記錄.xlsx）</v>
      </c>
    </row>
    <row r="42">
      <c r="A42" t="str">
        <v xml:space="preserve">  3. 開啟 TITAN-STAR → 上傳/管理 → 拖曳上傳</v>
      </c>
    </row>
    <row r="43">
      <c r="A43" t="str">
        <v xml:space="preserve">  4. 系統自動解析，確認月份標籤正確即完成</v>
      </c>
    </row>
  </sheetData>
  <ignoredErrors>
    <ignoredError numberStoredAsText="1" sqref="A1:A4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機種清冊</vt:lpstr>
      <vt:lpstr>維修記錄</vt:lpstr>
      <vt:lpstr>本月彙總</vt:lpstr>
      <vt:lpstr>料號對照</vt:lpstr>
      <vt:lpstr>系品彙總</vt:lpstr>
      <vt:lpstr>說明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