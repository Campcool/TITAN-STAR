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61.2.9\qcd&amp;tsi\2.修理狀況表\文件\1150604備份\Documents\整合故障統計\"/>
    </mc:Choice>
  </mc:AlternateContent>
  <xr:revisionPtr revIDLastSave="0" documentId="13_ncr:1_{7AEB8746-1409-428E-BC2D-A89D7DDCA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無限+檢修故障一覽表" sheetId="16" r:id="rId1"/>
    <sheet name="Sheet2" sheetId="3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6" l="1"/>
  <c r="R64" i="16" s="1"/>
  <c r="Q16" i="16"/>
  <c r="Q8" i="16" s="1"/>
  <c r="Q6" i="16" s="1"/>
  <c r="Q7" i="16" s="1"/>
  <c r="P16" i="16"/>
  <c r="M16" i="16"/>
  <c r="M8" i="16" s="1"/>
  <c r="M6" i="16" s="1"/>
  <c r="M7" i="16" s="1"/>
  <c r="K16" i="16"/>
  <c r="K64" i="16" s="1"/>
  <c r="J16" i="16"/>
  <c r="J8" i="16" s="1"/>
  <c r="J6" i="16" s="1"/>
  <c r="J7" i="16" s="1"/>
  <c r="H16" i="16"/>
  <c r="H64" i="16" s="1"/>
  <c r="F54" i="16"/>
  <c r="F53" i="16"/>
  <c r="F43" i="16"/>
  <c r="F40" i="16"/>
  <c r="F15" i="16"/>
  <c r="F5" i="16"/>
  <c r="N5" i="16"/>
  <c r="N16" i="16" s="1"/>
  <c r="N8" i="16" s="1"/>
  <c r="O5" i="16"/>
  <c r="O16" i="16" s="1"/>
  <c r="O8" i="16" s="1"/>
  <c r="O6" i="16" s="1"/>
  <c r="O7" i="16" s="1"/>
  <c r="P64" i="16"/>
  <c r="P8" i="16"/>
  <c r="P9" i="16" s="1"/>
  <c r="E64" i="16"/>
  <c r="E8" i="16"/>
  <c r="E6" i="16" s="1"/>
  <c r="E7" i="16" s="1"/>
  <c r="I64" i="16"/>
  <c r="I8" i="16"/>
  <c r="I9" i="16" s="1"/>
  <c r="G16" i="16"/>
  <c r="G64" i="16" s="1"/>
  <c r="D16" i="16"/>
  <c r="S64" i="16"/>
  <c r="S8" i="16"/>
  <c r="J64" i="16" l="1"/>
  <c r="H8" i="16"/>
  <c r="H9" i="16" s="1"/>
  <c r="R8" i="16"/>
  <c r="R9" i="16" s="1"/>
  <c r="K8" i="16"/>
  <c r="K9" i="16" s="1"/>
  <c r="P6" i="16"/>
  <c r="P7" i="16" s="1"/>
  <c r="E9" i="16"/>
  <c r="I6" i="16"/>
  <c r="I7" i="16" s="1"/>
  <c r="H6" i="16"/>
  <c r="H7" i="16" s="1"/>
  <c r="J9" i="16"/>
  <c r="G8" i="16"/>
  <c r="N6" i="16"/>
  <c r="N7" i="16" s="1"/>
  <c r="S6" i="16"/>
  <c r="S7" i="16" s="1"/>
  <c r="S9" i="16"/>
  <c r="M9" i="16"/>
  <c r="O9" i="16"/>
  <c r="N9" i="16"/>
  <c r="Q9" i="16"/>
  <c r="R6" i="16"/>
  <c r="R7" i="16" s="1"/>
  <c r="K6" i="16" l="1"/>
  <c r="K7" i="16" s="1"/>
  <c r="G6" i="16"/>
  <c r="G7" i="16" s="1"/>
  <c r="G9" i="16"/>
  <c r="T54" i="16"/>
  <c r="L16" i="16"/>
  <c r="M64" i="16"/>
  <c r="T53" i="16"/>
  <c r="T15" i="16"/>
  <c r="U21" i="16"/>
  <c r="T21" i="16"/>
  <c r="L64" i="16" l="1"/>
  <c r="L8" i="16"/>
  <c r="T5" i="16"/>
  <c r="U15" i="16"/>
  <c r="U63" i="16"/>
  <c r="U50" i="16"/>
  <c r="U37" i="16"/>
  <c r="L6" i="16" l="1"/>
  <c r="L7" i="16" s="1"/>
  <c r="L9" i="16"/>
  <c r="U64" i="16"/>
  <c r="T58" i="16"/>
  <c r="T57" i="16"/>
  <c r="T56" i="16"/>
  <c r="T55" i="16"/>
  <c r="T52" i="16"/>
  <c r="T50" i="16"/>
  <c r="T49" i="16"/>
  <c r="T48" i="16"/>
  <c r="T47" i="16"/>
  <c r="T46" i="16"/>
  <c r="T45" i="16"/>
  <c r="T44" i="16"/>
  <c r="T43" i="16"/>
  <c r="T42" i="16"/>
  <c r="T41" i="16"/>
  <c r="T40" i="16"/>
  <c r="T39" i="16"/>
  <c r="T33" i="16"/>
  <c r="T32" i="16"/>
  <c r="T31" i="16"/>
  <c r="T30" i="16"/>
  <c r="T29" i="16"/>
  <c r="T28" i="16"/>
  <c r="T27" i="16"/>
  <c r="T26" i="16"/>
  <c r="T20" i="16"/>
  <c r="T19" i="16"/>
  <c r="T18" i="16"/>
  <c r="T17" i="16"/>
  <c r="T14" i="16"/>
  <c r="T13" i="16"/>
  <c r="T12" i="16"/>
  <c r="Q64" i="16" l="1"/>
  <c r="F16" i="16" l="1"/>
  <c r="F8" i="16" s="1"/>
  <c r="F6" i="16" l="1"/>
  <c r="F7" i="16" s="1"/>
  <c r="F9" i="16"/>
  <c r="T16" i="16"/>
  <c r="N64" i="16"/>
  <c r="D64" i="16" l="1"/>
  <c r="D8" i="16"/>
  <c r="D6" i="16" l="1"/>
  <c r="T6" i="16" s="1"/>
  <c r="T7" i="16" s="1"/>
  <c r="T8" i="16"/>
  <c r="T9" i="16" s="1"/>
  <c r="D9" i="16"/>
  <c r="D7" i="16" l="1"/>
  <c r="O64" i="16" l="1"/>
  <c r="F64" i="16"/>
  <c r="T64" i="16" l="1"/>
</calcChain>
</file>

<file path=xl/sharedStrings.xml><?xml version="1.0" encoding="utf-8"?>
<sst xmlns="http://schemas.openxmlformats.org/spreadsheetml/2006/main" count="279" uniqueCount="82">
  <si>
    <t>1A</t>
  </si>
  <si>
    <t>2A</t>
  </si>
  <si>
    <t>3A</t>
  </si>
  <si>
    <t>4A</t>
  </si>
  <si>
    <t>1B</t>
  </si>
  <si>
    <t>2B</t>
  </si>
  <si>
    <t>3B</t>
  </si>
  <si>
    <t>4B</t>
  </si>
  <si>
    <t>浸水</t>
  </si>
  <si>
    <t>開機當機 or 不穩</t>
  </si>
  <si>
    <t>Ethernet 異常</t>
  </si>
  <si>
    <t>機板鏽蝕</t>
  </si>
  <si>
    <t>大電流 or 短路</t>
  </si>
  <si>
    <t>WiFi 異常</t>
  </si>
  <si>
    <t>機板or零件破損</t>
  </si>
  <si>
    <t>RS-485 異常</t>
  </si>
  <si>
    <t>螢幕 or 顯示異常</t>
  </si>
  <si>
    <t>外觀破損</t>
  </si>
  <si>
    <t>RS-232 異常</t>
  </si>
  <si>
    <t>電池異常</t>
  </si>
  <si>
    <t>USB 異常</t>
  </si>
  <si>
    <t>影像異常</t>
  </si>
  <si>
    <t>喇叭異常 or 異音</t>
  </si>
  <si>
    <t>Buzzer (蜂鳴器)異常</t>
  </si>
  <si>
    <t>總和</t>
    <phoneticPr fontId="2" type="noConversion"/>
  </si>
  <si>
    <t>電器故障類</t>
    <phoneticPr fontId="2" type="noConversion"/>
  </si>
  <si>
    <t>通訊故障類</t>
    <phoneticPr fontId="2" type="noConversion"/>
  </si>
  <si>
    <t>功能故障類</t>
    <phoneticPr fontId="2" type="noConversion"/>
  </si>
  <si>
    <t>項次</t>
    <phoneticPr fontId="2" type="noConversion"/>
  </si>
  <si>
    <t>機器型號</t>
    <phoneticPr fontId="2" type="noConversion"/>
  </si>
  <si>
    <t>整新測試數</t>
    <phoneticPr fontId="2" type="noConversion"/>
  </si>
  <si>
    <t>測試正常數</t>
    <phoneticPr fontId="2" type="noConversion"/>
  </si>
  <si>
    <t>可用率</t>
    <phoneticPr fontId="2" type="noConversion"/>
  </si>
  <si>
    <t>整新故障數</t>
    <phoneticPr fontId="2" type="noConversion"/>
  </si>
  <si>
    <t>故障比例</t>
    <phoneticPr fontId="2" type="noConversion"/>
  </si>
  <si>
    <r>
      <t>不開機</t>
    </r>
    <r>
      <rPr>
        <sz val="12"/>
        <color rgb="FFFF0000"/>
        <rFont val="微軟正黑體"/>
        <family val="2"/>
        <charset val="136"/>
      </rPr>
      <t>(無法進入測試)</t>
    </r>
    <phoneticPr fontId="2" type="noConversion"/>
  </si>
  <si>
    <r>
      <t>待機耗電過大</t>
    </r>
    <r>
      <rPr>
        <sz val="12"/>
        <color rgb="FFFF0000"/>
        <rFont val="微軟正黑體"/>
        <family val="2"/>
        <charset val="136"/>
      </rPr>
      <t>(靜態電流異常)</t>
    </r>
    <phoneticPr fontId="2" type="noConversion"/>
  </si>
  <si>
    <r>
      <t>程式無法燒錄更新/</t>
    </r>
    <r>
      <rPr>
        <sz val="12"/>
        <color rgb="FFFF0000"/>
        <rFont val="微軟正黑體"/>
        <family val="2"/>
        <charset val="136"/>
      </rPr>
      <t>無法頻譜燒錄</t>
    </r>
    <phoneticPr fontId="2" type="noConversion"/>
  </si>
  <si>
    <r>
      <t>外部供電異常</t>
    </r>
    <r>
      <rPr>
        <sz val="12"/>
        <color rgb="FFFF0000"/>
        <rFont val="微軟正黑體"/>
        <family val="2"/>
        <charset val="136"/>
      </rPr>
      <t>(外接5V測試異常)</t>
    </r>
    <phoneticPr fontId="2" type="noConversion"/>
  </si>
  <si>
    <r>
      <t>電壓偵測異常</t>
    </r>
    <r>
      <rPr>
        <sz val="12"/>
        <color rgb="FFFF0000"/>
        <rFont val="微軟正黑體"/>
        <family val="2"/>
        <charset val="136"/>
      </rPr>
      <t>(低電壓測試異常)</t>
    </r>
    <phoneticPr fontId="2" type="noConversion"/>
  </si>
  <si>
    <t>ZB or RF訊號異常</t>
    <phoneticPr fontId="2" type="noConversion"/>
  </si>
  <si>
    <r>
      <t>其他通訊異常</t>
    </r>
    <r>
      <rPr>
        <sz val="12"/>
        <color rgb="FFFF0000"/>
        <rFont val="微軟正黑體"/>
        <family val="2"/>
        <charset val="136"/>
      </rPr>
      <t>(訊號弱)</t>
    </r>
    <phoneticPr fontId="2" type="noConversion"/>
  </si>
  <si>
    <t>4G-IMEI/IMSI 訊號異常</t>
    <phoneticPr fontId="2" type="noConversion"/>
  </si>
  <si>
    <r>
      <t>DI/DO 功能異常</t>
    </r>
    <r>
      <rPr>
        <sz val="12"/>
        <color rgb="FFFF0000"/>
        <rFont val="微軟正黑體"/>
        <family val="2"/>
        <charset val="136"/>
      </rPr>
      <t>(DC異常)</t>
    </r>
    <phoneticPr fontId="2" type="noConversion"/>
  </si>
  <si>
    <r>
      <t>按鍵異常</t>
    </r>
    <r>
      <rPr>
        <sz val="12"/>
        <color rgb="FFFF0000"/>
        <rFont val="微軟正黑體"/>
        <family val="2"/>
        <charset val="136"/>
      </rPr>
      <t>(登錄鑑異常)</t>
    </r>
    <phoneticPr fontId="2" type="noConversion"/>
  </si>
  <si>
    <r>
      <t>LED異常/</t>
    </r>
    <r>
      <rPr>
        <sz val="12"/>
        <color rgb="FFFF0000"/>
        <rFont val="微軟正黑體"/>
        <family val="2"/>
        <charset val="136"/>
      </rPr>
      <t>光感知器(補光燈)異常</t>
    </r>
    <phoneticPr fontId="2" type="noConversion"/>
  </si>
  <si>
    <t>磁簧管測試異常/破損</t>
    <phoneticPr fontId="2" type="noConversion"/>
  </si>
  <si>
    <r>
      <t>PIR 異常</t>
    </r>
    <r>
      <rPr>
        <sz val="12"/>
        <color rgb="FFFF0000"/>
        <rFont val="微軟正黑體"/>
        <family val="2"/>
        <charset val="136"/>
      </rPr>
      <t>(體溫感知異常)</t>
    </r>
    <phoneticPr fontId="2" type="noConversion"/>
  </si>
  <si>
    <r>
      <t>器材主功能異常</t>
    </r>
    <r>
      <rPr>
        <sz val="12"/>
        <color rgb="FFFF0000"/>
        <rFont val="微軟正黑體"/>
        <family val="2"/>
        <charset val="136"/>
      </rPr>
      <t>/蓋開異常</t>
    </r>
    <phoneticPr fontId="2" type="noConversion"/>
  </si>
  <si>
    <t>指撥異常</t>
    <phoneticPr fontId="2" type="noConversion"/>
  </si>
  <si>
    <t>其它類</t>
    <phoneticPr fontId="2" type="noConversion"/>
  </si>
  <si>
    <t>熱敏電阻斷</t>
    <phoneticPr fontId="2" type="noConversion"/>
  </si>
  <si>
    <t>天線氧化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</si>
  <si>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</si>
  <si>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</si>
  <si>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 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</si>
  <si>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</si>
  <si>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</si>
  <si>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</si>
  <si>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</si>
  <si>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 </t>
    <phoneticPr fontId="2" type="noConversion"/>
  </si>
  <si>
    <t>蓋開異常</t>
    <phoneticPr fontId="2" type="noConversion"/>
  </si>
  <si>
    <r>
      <t>待機耗電過大</t>
    </r>
    <r>
      <rPr>
        <sz val="12"/>
        <color rgb="FFFF0000"/>
        <rFont val="微軟正黑體"/>
        <family val="2"/>
        <charset val="136"/>
      </rPr>
      <t>(靜態電流異常)</t>
    </r>
    <r>
      <rPr>
        <sz val="12"/>
        <color theme="1"/>
        <rFont val="微軟正黑體"/>
        <family val="2"/>
        <charset val="136"/>
      </rPr>
      <t>百分比</t>
    </r>
    <phoneticPr fontId="2" type="noConversion"/>
  </si>
  <si>
    <t>ZBRT050</t>
    <phoneticPr fontId="2" type="noConversion"/>
  </si>
  <si>
    <t>ZBIRC5S</t>
    <phoneticPr fontId="2" type="noConversion"/>
  </si>
  <si>
    <t>麥克風異常/偵煙異常</t>
    <phoneticPr fontId="2" type="noConversion"/>
  </si>
  <si>
    <t>ZBIRC50</t>
    <phoneticPr fontId="2" type="noConversion"/>
  </si>
  <si>
    <t>ZBSD060</t>
    <phoneticPr fontId="2" type="noConversion"/>
  </si>
  <si>
    <t>ZSPMG31</t>
    <phoneticPr fontId="2" type="noConversion"/>
  </si>
  <si>
    <t>ZBPIR50</t>
    <phoneticPr fontId="2" type="noConversion"/>
  </si>
  <si>
    <t>ZSPMG51(1.0.9)</t>
    <phoneticPr fontId="2" type="noConversion"/>
  </si>
  <si>
    <t>ZSPMG51(2.0.2)</t>
    <phoneticPr fontId="2" type="noConversion"/>
  </si>
  <si>
    <t>ZSPMG51(2.0.3)</t>
    <phoneticPr fontId="2" type="noConversion"/>
  </si>
  <si>
    <t>ZSPMB31</t>
    <phoneticPr fontId="2" type="noConversion"/>
  </si>
  <si>
    <t>ZSPMB51</t>
    <phoneticPr fontId="2" type="noConversion"/>
  </si>
  <si>
    <t>ZBHD060</t>
    <phoneticPr fontId="2" type="noConversion"/>
  </si>
  <si>
    <t>115年 8 月整新機器與數量</t>
    <phoneticPr fontId="2" type="noConversion"/>
  </si>
  <si>
    <t>ZBDIO90(1.07)</t>
    <phoneticPr fontId="2" type="noConversion"/>
  </si>
  <si>
    <t>ZBDIO90(2.0.1)</t>
    <phoneticPr fontId="2" type="noConversion"/>
  </si>
  <si>
    <t>ZBPIR5P</t>
    <phoneticPr fontId="2" type="noConversion"/>
  </si>
  <si>
    <t xml:space="preserve"> </t>
    <phoneticPr fontId="2" type="noConversion"/>
  </si>
  <si>
    <t>ZBSPC40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</si>
</sst>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%"/>
  </numFmts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20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4"/>
      <color theme="1"/>
      <name val="標楷體"/>
      <family val="4"/>
      <charset val="136"/>
    </font>
    <font>
      <sz val="11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177" fontId="3" fillId="0" borderId="0" xfId="0" applyNumberFormat="1" applyFont="1">
      <alignment vertical="center"/>
    </xf>
    <xf numFmtId="49" fontId="3" fillId="0" borderId="0" xfId="0" applyNumberFormat="1" applyFont="1" applyAlignment="1"/>
    <xf numFmtId="0" fontId="13" fillId="0" borderId="0" xfId="0" applyFont="1">
      <alignment vertical="center"/>
    </xf>
    <xf numFmtId="176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49" fontId="9" fillId="0" borderId="0" xfId="0" applyNumberFormat="1" applyFont="1" applyAlignment="1"/>
    <xf numFmtId="0" fontId="4" fillId="0" borderId="0" xfId="0" applyFont="1" applyAlignment="1" applyProtection="1">
      <protection locked="0"/>
    </xf>
    <xf numFmtId="0" fontId="3" fillId="0" borderId="21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178" fontId="3" fillId="4" borderId="3" xfId="1" applyNumberFormat="1" applyFont="1" applyFill="1" applyBorder="1" applyAlignment="1">
      <alignment vertical="center"/>
    </xf>
    <xf numFmtId="10" fontId="3" fillId="0" borderId="5" xfId="1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8" xfId="0" applyFont="1" applyBorder="1" applyAlignment="1">
      <alignment vertical="center" wrapText="1"/>
    </xf>
    <xf numFmtId="0" fontId="18" fillId="0" borderId="0" xfId="0" applyFont="1">
      <alignment vertical="center"/>
    </xf>
    <xf numFmtId="0" fontId="18" fillId="7" borderId="6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49" fontId="18" fillId="7" borderId="1" xfId="0" applyNumberFormat="1" applyFont="1" applyFill="1" applyBorder="1" applyAlignment="1">
      <alignment horizontal="center"/>
    </xf>
    <xf numFmtId="49" fontId="18" fillId="7" borderId="4" xfId="0" applyNumberFormat="1" applyFont="1" applyFill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49" fontId="18" fillId="4" borderId="1" xfId="0" applyNumberFormat="1" applyFont="1" applyFill="1" applyBorder="1" applyAlignment="1">
      <alignment horizontal="center"/>
    </xf>
    <xf numFmtId="49" fontId="18" fillId="4" borderId="4" xfId="0" applyNumberFormat="1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49" fontId="18" fillId="5" borderId="1" xfId="0" applyNumberFormat="1" applyFont="1" applyFill="1" applyBorder="1" applyAlignment="1">
      <alignment horizontal="center"/>
    </xf>
    <xf numFmtId="49" fontId="22" fillId="5" borderId="4" xfId="0" applyNumberFormat="1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49" fontId="18" fillId="6" borderId="1" xfId="0" applyNumberFormat="1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/>
    </xf>
    <xf numFmtId="0" fontId="18" fillId="0" borderId="22" xfId="0" applyFont="1" applyBorder="1">
      <alignment vertical="center"/>
    </xf>
    <xf numFmtId="0" fontId="21" fillId="0" borderId="23" xfId="0" applyFont="1" applyBorder="1">
      <alignment vertical="center"/>
    </xf>
    <xf numFmtId="0" fontId="18" fillId="2" borderId="23" xfId="0" applyFont="1" applyFill="1" applyBorder="1">
      <alignment vertical="center"/>
    </xf>
    <xf numFmtId="0" fontId="18" fillId="4" borderId="23" xfId="0" applyFont="1" applyFill="1" applyBorder="1">
      <alignment vertical="center"/>
    </xf>
    <xf numFmtId="0" fontId="18" fillId="3" borderId="23" xfId="0" applyFont="1" applyFill="1" applyBorder="1">
      <alignment vertical="center"/>
    </xf>
    <xf numFmtId="0" fontId="18" fillId="0" borderId="24" xfId="0" applyFont="1" applyBorder="1">
      <alignment vertical="center"/>
    </xf>
    <xf numFmtId="0" fontId="18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49" fontId="18" fillId="0" borderId="21" xfId="0" applyNumberFormat="1" applyFont="1" applyBorder="1" applyAlignment="1"/>
    <xf numFmtId="49" fontId="18" fillId="0" borderId="3" xfId="0" applyNumberFormat="1" applyFont="1" applyBorder="1" applyAlignment="1"/>
    <xf numFmtId="49" fontId="18" fillId="0" borderId="5" xfId="0" applyNumberFormat="1" applyFont="1" applyBorder="1" applyAlignment="1"/>
    <xf numFmtId="49" fontId="22" fillId="0" borderId="3" xfId="0" applyNumberFormat="1" applyFont="1" applyBorder="1" applyAlignment="1"/>
    <xf numFmtId="49" fontId="22" fillId="0" borderId="5" xfId="0" applyNumberFormat="1" applyFont="1" applyBorder="1" applyAlignment="1"/>
    <xf numFmtId="49" fontId="18" fillId="0" borderId="21" xfId="0" applyNumberFormat="1" applyFont="1" applyBorder="1" applyAlignment="1">
      <alignment horizontal="left"/>
    </xf>
    <xf numFmtId="49" fontId="18" fillId="0" borderId="3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18" fillId="0" borderId="3" xfId="0" applyNumberFormat="1" applyFont="1" applyBorder="1" applyAlignment="1">
      <alignment horizontal="center"/>
    </xf>
    <xf numFmtId="49" fontId="18" fillId="0" borderId="5" xfId="0" applyNumberFormat="1" applyFont="1" applyBorder="1" applyAlignment="1">
      <alignment horizontal="center"/>
    </xf>
    <xf numFmtId="49" fontId="19" fillId="4" borderId="16" xfId="0" applyNumberFormat="1" applyFont="1" applyFill="1" applyBorder="1" applyAlignment="1">
      <alignment horizontal="center"/>
    </xf>
    <xf numFmtId="49" fontId="18" fillId="4" borderId="14" xfId="0" applyNumberFormat="1" applyFont="1" applyFill="1" applyBorder="1" applyAlignment="1">
      <alignment horizontal="center"/>
    </xf>
    <xf numFmtId="0" fontId="18" fillId="7" borderId="14" xfId="0" applyFont="1" applyFill="1" applyBorder="1" applyAlignment="1">
      <alignment vertical="center" wrapText="1"/>
    </xf>
    <xf numFmtId="0" fontId="15" fillId="7" borderId="16" xfId="0" applyFont="1" applyFill="1" applyBorder="1" applyAlignment="1">
      <alignment horizontal="center" vertical="center"/>
    </xf>
    <xf numFmtId="49" fontId="18" fillId="5" borderId="14" xfId="0" applyNumberFormat="1" applyFont="1" applyFill="1" applyBorder="1" applyAlignment="1">
      <alignment horizontal="center"/>
    </xf>
    <xf numFmtId="49" fontId="15" fillId="5" borderId="16" xfId="0" applyNumberFormat="1" applyFont="1" applyFill="1" applyBorder="1" applyAlignment="1">
      <alignment horizontal="center"/>
    </xf>
    <xf numFmtId="49" fontId="20" fillId="6" borderId="16" xfId="0" applyNumberFormat="1" applyFont="1" applyFill="1" applyBorder="1" applyAlignment="1">
      <alignment horizontal="center"/>
    </xf>
    <xf numFmtId="49" fontId="22" fillId="6" borderId="14" xfId="0" applyNumberFormat="1" applyFont="1" applyFill="1" applyBorder="1" applyAlignment="1">
      <alignment horizontal="center"/>
    </xf>
    <xf numFmtId="0" fontId="10" fillId="8" borderId="0" xfId="0" applyFont="1" applyFill="1">
      <alignment vertical="center"/>
    </xf>
    <xf numFmtId="177" fontId="3" fillId="2" borderId="3" xfId="0" applyNumberFormat="1" applyFont="1" applyFill="1" applyBorder="1">
      <alignment vertical="center"/>
    </xf>
    <xf numFmtId="178" fontId="3" fillId="4" borderId="2" xfId="1" applyNumberFormat="1" applyFont="1" applyFill="1" applyBorder="1" applyAlignment="1">
      <alignment vertical="center"/>
    </xf>
    <xf numFmtId="176" fontId="3" fillId="3" borderId="2" xfId="0" applyNumberFormat="1" applyFont="1" applyFill="1" applyBorder="1">
      <alignment vertical="center"/>
    </xf>
    <xf numFmtId="10" fontId="3" fillId="0" borderId="7" xfId="1" applyNumberFormat="1" applyFont="1" applyBorder="1" applyAlignment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77" fontId="3" fillId="0" borderId="11" xfId="0" applyNumberFormat="1" applyFont="1" applyBorder="1" applyAlignment="1"/>
    <xf numFmtId="177" fontId="9" fillId="0" borderId="11" xfId="0" applyNumberFormat="1" applyFont="1" applyBorder="1" applyAlignment="1"/>
    <xf numFmtId="177" fontId="3" fillId="0" borderId="9" xfId="0" applyNumberFormat="1" applyFont="1" applyBorder="1">
      <alignment vertical="center"/>
    </xf>
    <xf numFmtId="177" fontId="3" fillId="0" borderId="2" xfId="0" applyNumberFormat="1" applyFont="1" applyBorder="1" applyAlignment="1"/>
    <xf numFmtId="177" fontId="9" fillId="0" borderId="2" xfId="0" applyNumberFormat="1" applyFont="1" applyBorder="1" applyAlignment="1"/>
    <xf numFmtId="177" fontId="3" fillId="0" borderId="3" xfId="0" applyNumberFormat="1" applyFont="1" applyBorder="1">
      <alignment vertical="center"/>
    </xf>
    <xf numFmtId="177" fontId="3" fillId="0" borderId="7" xfId="0" applyNumberFormat="1" applyFont="1" applyBorder="1" applyAlignment="1"/>
    <xf numFmtId="177" fontId="9" fillId="0" borderId="7" xfId="0" applyNumberFormat="1" applyFont="1" applyBorder="1" applyAlignment="1"/>
    <xf numFmtId="177" fontId="3" fillId="0" borderId="5" xfId="0" applyNumberFormat="1" applyFont="1" applyBorder="1">
      <alignment vertical="center"/>
    </xf>
    <xf numFmtId="177" fontId="3" fillId="0" borderId="19" xfId="0" applyNumberFormat="1" applyFont="1" applyBorder="1" applyAlignment="1"/>
    <xf numFmtId="177" fontId="9" fillId="0" borderId="19" xfId="0" applyNumberFormat="1" applyFont="1" applyBorder="1" applyAlignment="1"/>
    <xf numFmtId="177" fontId="3" fillId="0" borderId="18" xfId="0" applyNumberFormat="1" applyFont="1" applyBorder="1">
      <alignment vertical="center"/>
    </xf>
    <xf numFmtId="177" fontId="7" fillId="0" borderId="7" xfId="0" applyNumberFormat="1" applyFont="1" applyBorder="1" applyAlignment="1"/>
    <xf numFmtId="177" fontId="10" fillId="0" borderId="7" xfId="0" applyNumberFormat="1" applyFont="1" applyBorder="1" applyAlignment="1"/>
    <xf numFmtId="177" fontId="7" fillId="0" borderId="19" xfId="0" applyNumberFormat="1" applyFont="1" applyBorder="1" applyAlignment="1"/>
    <xf numFmtId="177" fontId="10" fillId="0" borderId="19" xfId="0" applyNumberFormat="1" applyFont="1" applyBorder="1" applyAlignment="1"/>
    <xf numFmtId="177" fontId="3" fillId="0" borderId="11" xfId="0" applyNumberFormat="1" applyFont="1" applyBorder="1">
      <alignment vertical="center"/>
    </xf>
    <xf numFmtId="177" fontId="9" fillId="0" borderId="11" xfId="0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177" fontId="3" fillId="0" borderId="7" xfId="0" applyNumberFormat="1" applyFont="1" applyBorder="1">
      <alignment vertical="center"/>
    </xf>
    <xf numFmtId="177" fontId="9" fillId="0" borderId="7" xfId="0" applyNumberFormat="1" applyFont="1" applyBorder="1">
      <alignment vertical="center"/>
    </xf>
    <xf numFmtId="0" fontId="3" fillId="8" borderId="0" xfId="0" applyFont="1" applyFill="1">
      <alignment vertical="center"/>
    </xf>
    <xf numFmtId="49" fontId="18" fillId="0" borderId="12" xfId="0" applyNumberFormat="1" applyFont="1" applyBorder="1" applyAlignment="1"/>
    <xf numFmtId="49" fontId="18" fillId="0" borderId="13" xfId="0" applyNumberFormat="1" applyFont="1" applyBorder="1" applyAlignment="1"/>
    <xf numFmtId="49" fontId="18" fillId="0" borderId="12" xfId="0" applyNumberFormat="1" applyFont="1" applyBorder="1" applyAlignment="1">
      <alignment horizontal="center"/>
    </xf>
    <xf numFmtId="49" fontId="18" fillId="0" borderId="13" xfId="0" applyNumberFormat="1" applyFont="1" applyBorder="1" applyAlignment="1">
      <alignment horizontal="center"/>
    </xf>
    <xf numFmtId="0" fontId="18" fillId="0" borderId="15" xfId="0" applyFont="1" applyBorder="1" applyAlignment="1"/>
    <xf numFmtId="0" fontId="18" fillId="0" borderId="12" xfId="0" applyFont="1" applyBorder="1" applyAlignment="1"/>
    <xf numFmtId="0" fontId="18" fillId="0" borderId="15" xfId="0" applyFont="1" applyBorder="1" applyAlignment="1">
      <alignment horizontal="right"/>
    </xf>
    <xf numFmtId="0" fontId="16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right" vertical="center"/>
    </xf>
    <xf numFmtId="176" fontId="3" fillId="4" borderId="2" xfId="0" applyNumberFormat="1" applyFont="1" applyFill="1" applyBorder="1" applyAlignment="1">
      <alignment horizontal="right" vertical="center"/>
    </xf>
    <xf numFmtId="49" fontId="19" fillId="8" borderId="16" xfId="0" applyNumberFormat="1" applyFont="1" applyFill="1" applyBorder="1" applyAlignment="1">
      <alignment horizontal="center"/>
    </xf>
    <xf numFmtId="49" fontId="15" fillId="8" borderId="16" xfId="0" applyNumberFormat="1" applyFont="1" applyFill="1" applyBorder="1" applyAlignment="1">
      <alignment horizontal="center"/>
    </xf>
    <xf numFmtId="49" fontId="20" fillId="8" borderId="16" xfId="0" applyNumberFormat="1" applyFont="1" applyFill="1" applyBorder="1" applyAlignment="1">
      <alignment horizontal="center"/>
    </xf>
    <xf numFmtId="10" fontId="3" fillId="9" borderId="12" xfId="0" applyNumberFormat="1" applyFont="1" applyFill="1" applyBorder="1" applyAlignment="1"/>
    <xf numFmtId="49" fontId="18" fillId="9" borderId="3" xfId="0" applyNumberFormat="1" applyFont="1" applyFill="1" applyBorder="1" applyAlignment="1"/>
    <xf numFmtId="10" fontId="3" fillId="9" borderId="3" xfId="0" applyNumberFormat="1" applyFont="1" applyFill="1" applyBorder="1" applyAlignment="1"/>
    <xf numFmtId="49" fontId="18" fillId="0" borderId="13" xfId="0" applyNumberFormat="1" applyFont="1" applyBorder="1" applyAlignment="1">
      <alignment horizontal="right"/>
    </xf>
    <xf numFmtId="177" fontId="3" fillId="0" borderId="0" xfId="0" applyNumberFormat="1" applyFont="1" applyAlignment="1"/>
    <xf numFmtId="0" fontId="3" fillId="0" borderId="2" xfId="0" applyFont="1" applyBorder="1">
      <alignment vertical="center"/>
    </xf>
    <xf numFmtId="0" fontId="18" fillId="8" borderId="20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6" fillId="8" borderId="2" xfId="0" applyFont="1" applyFill="1" applyBorder="1">
      <alignment vertical="center"/>
    </xf>
    <xf numFmtId="0" fontId="6" fillId="8" borderId="2" xfId="0" applyFont="1" applyFill="1" applyBorder="1" applyAlignment="1">
      <alignment vertical="center" wrapText="1"/>
    </xf>
    <xf numFmtId="0" fontId="25" fillId="8" borderId="2" xfId="0" applyFont="1" applyFill="1" applyBorder="1" applyAlignment="1">
      <alignment vertical="center" wrapText="1"/>
    </xf>
    <xf numFmtId="0" fontId="3" fillId="0" borderId="28" xfId="0" applyFont="1" applyBorder="1">
      <alignment vertical="center"/>
    </xf>
    <xf numFmtId="0" fontId="17" fillId="0" borderId="16" xfId="0" applyFont="1" applyBorder="1">
      <alignment vertical="center"/>
    </xf>
    <xf numFmtId="0" fontId="17" fillId="0" borderId="17" xfId="0" applyFont="1" applyBorder="1">
      <alignment vertical="center"/>
    </xf>
    <xf numFmtId="0" fontId="3" fillId="0" borderId="20" xfId="0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zoomScale="154" zoomScaleNormal="154" workbookViewId="0">
      <pane xSplit="3" topLeftCell="D1" activePane="topRight" state="frozen"/>
      <selection pane="topRight" activeCell="F10" sqref="F10:T10"/>
    </sheetView>
  </sheetViews>
  <sheetFormatPr defaultColWidth="9" defaultRowHeight="16.5" x14ac:dyDescent="0.25"/>
  <cols>
    <col min="1" max="1" width="9.5" style="1" bestFit="1" customWidth="1"/>
    <col min="2" max="2" width="5.125" style="1" customWidth="1"/>
    <col min="3" max="3" width="33.875" style="1" customWidth="1"/>
    <col min="4" max="14" width="9.5" style="1" customWidth="1"/>
    <col min="15" max="16" width="9" style="1"/>
    <col min="17" max="19" width="9.625" style="1" customWidth="1"/>
    <col min="20" max="20" width="9.75" style="1" customWidth="1"/>
    <col min="21" max="21" width="9.125" style="1" customWidth="1"/>
    <col min="22" max="16384" width="9" style="1"/>
  </cols>
  <sheetData>
    <row r="1" spans="1:25" x14ac:dyDescent="0.25">
      <c r="O1" s="2"/>
      <c r="P1" s="2"/>
    </row>
    <row r="2" spans="1:25" ht="28.5" thickBot="1" x14ac:dyDescent="0.3">
      <c r="D2" s="108" t="s">
        <v>76</v>
      </c>
      <c r="E2" s="108"/>
      <c r="Q2" s="21"/>
      <c r="R2" s="21"/>
      <c r="S2" s="21"/>
    </row>
    <row r="3" spans="1:25" x14ac:dyDescent="0.25">
      <c r="B3" s="40"/>
      <c r="C3" s="46" t="s">
        <v>28</v>
      </c>
      <c r="D3" s="120">
        <v>1</v>
      </c>
      <c r="E3" s="120">
        <v>2</v>
      </c>
      <c r="F3" s="121">
        <v>3</v>
      </c>
      <c r="G3" s="121">
        <v>4</v>
      </c>
      <c r="H3" s="121">
        <v>5</v>
      </c>
      <c r="I3" s="121">
        <v>6</v>
      </c>
      <c r="J3" s="121">
        <v>7</v>
      </c>
      <c r="K3" s="121">
        <v>8</v>
      </c>
      <c r="L3" s="128">
        <v>9</v>
      </c>
      <c r="M3" s="121">
        <v>10</v>
      </c>
      <c r="N3" s="121">
        <v>11</v>
      </c>
      <c r="O3" s="121">
        <v>12</v>
      </c>
      <c r="P3" s="121">
        <v>13</v>
      </c>
      <c r="Q3" s="121">
        <v>14</v>
      </c>
      <c r="R3" s="121">
        <v>15</v>
      </c>
      <c r="S3" s="121">
        <v>16</v>
      </c>
      <c r="T3" s="17"/>
    </row>
    <row r="4" spans="1:25" s="5" customFormat="1" ht="36" customHeight="1" x14ac:dyDescent="0.25">
      <c r="A4" s="4"/>
      <c r="B4" s="41"/>
      <c r="C4" s="47" t="s">
        <v>29</v>
      </c>
      <c r="D4" s="124" t="s">
        <v>77</v>
      </c>
      <c r="E4" s="124" t="s">
        <v>78</v>
      </c>
      <c r="F4" s="124" t="s">
        <v>70</v>
      </c>
      <c r="G4" s="124" t="s">
        <v>71</v>
      </c>
      <c r="H4" s="124" t="s">
        <v>72</v>
      </c>
      <c r="I4" s="124" t="s">
        <v>74</v>
      </c>
      <c r="J4" s="124" t="s">
        <v>73</v>
      </c>
      <c r="K4" s="124" t="s">
        <v>68</v>
      </c>
      <c r="L4" s="122" t="s">
        <v>66</v>
      </c>
      <c r="M4" s="122" t="s">
        <v>64</v>
      </c>
      <c r="N4" s="122" t="s">
        <v>79</v>
      </c>
      <c r="O4" s="123" t="s">
        <v>69</v>
      </c>
      <c r="P4" s="123" t="s">
        <v>81</v>
      </c>
      <c r="Q4" s="123" t="s">
        <v>75</v>
      </c>
      <c r="R4" s="123" t="s">
        <v>67</v>
      </c>
      <c r="S4" s="123" t="s">
        <v>63</v>
      </c>
      <c r="T4" s="18" t="s">
        <v>24</v>
      </c>
    </row>
    <row r="5" spans="1:25" ht="20.25" customHeight="1" x14ac:dyDescent="0.25">
      <c r="A5" s="3"/>
      <c r="B5" s="42"/>
      <c r="C5" s="48" t="s">
        <v>30</v>
      </c>
      <c r="D5" s="109">
        <v>517</v>
      </c>
      <c r="E5" s="109">
        <v>123</v>
      </c>
      <c r="F5" s="109">
        <f>1881+1411</f>
        <v>3292</v>
      </c>
      <c r="G5" s="109">
        <v>147</v>
      </c>
      <c r="H5" s="109">
        <v>184</v>
      </c>
      <c r="I5" s="109">
        <v>355</v>
      </c>
      <c r="J5" s="109">
        <v>220</v>
      </c>
      <c r="K5" s="109">
        <v>1153</v>
      </c>
      <c r="L5" s="109">
        <v>316</v>
      </c>
      <c r="M5" s="109">
        <v>216</v>
      </c>
      <c r="N5" s="109">
        <f>199+42</f>
        <v>241</v>
      </c>
      <c r="O5" s="109">
        <f>601+34</f>
        <v>635</v>
      </c>
      <c r="P5" s="109">
        <v>510</v>
      </c>
      <c r="Q5" s="109">
        <v>306</v>
      </c>
      <c r="R5" s="109">
        <v>813</v>
      </c>
      <c r="S5" s="109">
        <v>1445</v>
      </c>
      <c r="T5" s="72">
        <f>SUM(D5:S5)</f>
        <v>10473</v>
      </c>
    </row>
    <row r="6" spans="1:25" ht="20.25" customHeight="1" x14ac:dyDescent="0.25">
      <c r="A6" s="3"/>
      <c r="B6" s="43"/>
      <c r="C6" s="49" t="s">
        <v>31</v>
      </c>
      <c r="D6" s="110">
        <f t="shared" ref="D6:Q6" si="0">D5-D8</f>
        <v>472.98259187620891</v>
      </c>
      <c r="E6" s="110">
        <f t="shared" ref="E6" si="1">E5-E8</f>
        <v>117</v>
      </c>
      <c r="F6" s="110">
        <f t="shared" si="0"/>
        <v>2792.9878493317133</v>
      </c>
      <c r="G6" s="110">
        <f t="shared" ref="G6:J6" si="2">G5-G8</f>
        <v>123.97278911564626</v>
      </c>
      <c r="H6" s="110">
        <f t="shared" ref="H6:I6" si="3">H5-H8</f>
        <v>175.99456521739131</v>
      </c>
      <c r="I6" s="110">
        <f t="shared" si="3"/>
        <v>300</v>
      </c>
      <c r="J6" s="110">
        <f t="shared" si="2"/>
        <v>166.90454545454546</v>
      </c>
      <c r="K6" s="110">
        <f t="shared" ref="K6" si="4">K5-K8</f>
        <v>870.94362532523849</v>
      </c>
      <c r="L6" s="110">
        <f t="shared" si="0"/>
        <v>244.98101265822785</v>
      </c>
      <c r="M6" s="110">
        <f t="shared" si="0"/>
        <v>152.93981481481481</v>
      </c>
      <c r="N6" s="110">
        <f t="shared" si="0"/>
        <v>203.93775933609959</v>
      </c>
      <c r="O6" s="110">
        <f t="shared" si="0"/>
        <v>576.97165354330707</v>
      </c>
      <c r="P6" s="110">
        <f t="shared" ref="P6" si="5">P5-P8</f>
        <v>463.93921568627451</v>
      </c>
      <c r="Q6" s="110">
        <f t="shared" si="0"/>
        <v>299.98692810457516</v>
      </c>
      <c r="R6" s="110">
        <f t="shared" ref="R6:S6" si="6">R5-R8</f>
        <v>735.96924969249699</v>
      </c>
      <c r="S6" s="110">
        <f t="shared" si="6"/>
        <v>1187</v>
      </c>
      <c r="T6" s="72">
        <f>SUM(D6:S6)</f>
        <v>8886.5116001565402</v>
      </c>
      <c r="U6" s="9"/>
    </row>
    <row r="7" spans="1:25" ht="20.25" customHeight="1" x14ac:dyDescent="0.25">
      <c r="A7" s="3"/>
      <c r="B7" s="43"/>
      <c r="C7" s="49" t="s">
        <v>32</v>
      </c>
      <c r="D7" s="73">
        <f t="shared" ref="D7:E7" si="7">D6/D5</f>
        <v>0.9148599456019515</v>
      </c>
      <c r="E7" s="73">
        <f t="shared" si="7"/>
        <v>0.95121951219512191</v>
      </c>
      <c r="F7" s="73">
        <f t="shared" ref="F7:T7" si="8">F6/F5</f>
        <v>0.84841672215422637</v>
      </c>
      <c r="G7" s="73">
        <f t="shared" ref="G7:J7" si="9">G6/G5</f>
        <v>0.8433523069091583</v>
      </c>
      <c r="H7" s="73">
        <f t="shared" ref="H7:I7" si="10">H6/H5</f>
        <v>0.95649220226843101</v>
      </c>
      <c r="I7" s="73">
        <f t="shared" si="10"/>
        <v>0.84507042253521125</v>
      </c>
      <c r="J7" s="73">
        <f t="shared" si="9"/>
        <v>0.75865702479338848</v>
      </c>
      <c r="K7" s="73">
        <f t="shared" ref="K7" si="11">K6/K5</f>
        <v>0.75537174789699779</v>
      </c>
      <c r="L7" s="73">
        <f t="shared" ref="L7:M7" si="12">L6/L5</f>
        <v>0.77525636917160712</v>
      </c>
      <c r="M7" s="73">
        <f t="shared" si="12"/>
        <v>0.70805469821673528</v>
      </c>
      <c r="N7" s="73">
        <f t="shared" ref="N7" si="13">N6/N5</f>
        <v>0.84621476902945891</v>
      </c>
      <c r="O7" s="73">
        <f t="shared" si="8"/>
        <v>0.9086167772335545</v>
      </c>
      <c r="P7" s="73">
        <f t="shared" ref="P7" si="14">P6/P5</f>
        <v>0.90968473663975391</v>
      </c>
      <c r="Q7" s="73">
        <f t="shared" ref="Q7:R7" si="15">Q6/Q5</f>
        <v>0.98034943825024556</v>
      </c>
      <c r="R7" s="73">
        <f t="shared" si="15"/>
        <v>0.90525122963406768</v>
      </c>
      <c r="S7" s="73">
        <f t="shared" ref="S7" si="16">S6/S5</f>
        <v>0.82145328719723187</v>
      </c>
      <c r="T7" s="19">
        <f t="shared" si="8"/>
        <v>0.84851633726310893</v>
      </c>
      <c r="U7" s="9"/>
      <c r="X7" s="100"/>
      <c r="Y7" s="100"/>
    </row>
    <row r="8" spans="1:25" ht="20.25" customHeight="1" x14ac:dyDescent="0.25">
      <c r="A8" s="3"/>
      <c r="B8" s="44"/>
      <c r="C8" s="50" t="s">
        <v>33</v>
      </c>
      <c r="D8" s="74">
        <f t="shared" ref="D8:E8" si="17">SUM(D12:D63)</f>
        <v>44.0174081237911</v>
      </c>
      <c r="E8" s="74">
        <f t="shared" si="17"/>
        <v>6</v>
      </c>
      <c r="F8" s="74">
        <f t="shared" ref="F8:O8" si="18">SUM(F12:F63)</f>
        <v>499.01215066828672</v>
      </c>
      <c r="G8" s="74">
        <f t="shared" ref="G8:J8" si="19">SUM(G12:G63)</f>
        <v>23.027210884353742</v>
      </c>
      <c r="H8" s="74">
        <f t="shared" ref="H8:I8" si="20">SUM(H12:H63)</f>
        <v>8.0054347826086953</v>
      </c>
      <c r="I8" s="74">
        <f t="shared" si="20"/>
        <v>55</v>
      </c>
      <c r="J8" s="74">
        <f t="shared" si="19"/>
        <v>53.095454545454544</v>
      </c>
      <c r="K8" s="74">
        <f t="shared" ref="K8" si="21">SUM(K12:K63)</f>
        <v>282.05637467476151</v>
      </c>
      <c r="L8" s="74">
        <f t="shared" ref="L8:M8" si="22">SUM(L12:L63)</f>
        <v>71.018987341772146</v>
      </c>
      <c r="M8" s="74">
        <f t="shared" si="22"/>
        <v>63.060185185185183</v>
      </c>
      <c r="N8" s="74">
        <f t="shared" ref="N8" si="23">SUM(N12:N63)</f>
        <v>37.062240663900411</v>
      </c>
      <c r="O8" s="74">
        <f t="shared" si="18"/>
        <v>58.028346456692915</v>
      </c>
      <c r="P8" s="74">
        <f t="shared" ref="P8" si="24">SUM(P12:P63)</f>
        <v>46.060784313725492</v>
      </c>
      <c r="Q8" s="74">
        <f t="shared" ref="Q8:R8" si="25">SUM(Q12:Q63)</f>
        <v>6.0130718954248366</v>
      </c>
      <c r="R8" s="74">
        <f t="shared" si="25"/>
        <v>77.03075030750307</v>
      </c>
      <c r="S8" s="74">
        <f t="shared" ref="S8" si="26">SUM(S12:S63)</f>
        <v>258</v>
      </c>
      <c r="T8" s="72">
        <f>SUM(D8:S8)</f>
        <v>1586.4883998434605</v>
      </c>
      <c r="U8" s="9"/>
      <c r="V8" s="9"/>
    </row>
    <row r="9" spans="1:25" ht="20.25" customHeight="1" thickBot="1" x14ac:dyDescent="0.3">
      <c r="A9" s="3"/>
      <c r="B9" s="45"/>
      <c r="C9" s="51" t="s">
        <v>34</v>
      </c>
      <c r="D9" s="75">
        <f t="shared" ref="D9:E9" si="27">D8/D5</f>
        <v>8.5140054398048545E-2</v>
      </c>
      <c r="E9" s="75">
        <f t="shared" si="27"/>
        <v>4.878048780487805E-2</v>
      </c>
      <c r="F9" s="75">
        <f t="shared" ref="F9:T9" si="28">F8/F5</f>
        <v>0.15158327784577361</v>
      </c>
      <c r="G9" s="75">
        <f t="shared" ref="G9:J9" si="29">G8/G5</f>
        <v>0.15664769309084178</v>
      </c>
      <c r="H9" s="75">
        <f t="shared" ref="H9:I9" si="30">H8/H5</f>
        <v>4.3507797731568994E-2</v>
      </c>
      <c r="I9" s="75">
        <f t="shared" si="30"/>
        <v>0.15492957746478872</v>
      </c>
      <c r="J9" s="75">
        <f t="shared" si="29"/>
        <v>0.24134297520661158</v>
      </c>
      <c r="K9" s="75">
        <f t="shared" ref="K9" si="31">K8/K5</f>
        <v>0.24462825210300218</v>
      </c>
      <c r="L9" s="75">
        <f t="shared" ref="L9:M9" si="32">L8/L5</f>
        <v>0.22474363082839285</v>
      </c>
      <c r="M9" s="75">
        <f t="shared" si="32"/>
        <v>0.29194530178326472</v>
      </c>
      <c r="N9" s="75">
        <f t="shared" ref="N9" si="33">N8/N5</f>
        <v>0.15378523097054111</v>
      </c>
      <c r="O9" s="75">
        <f t="shared" si="28"/>
        <v>9.1383222766445532E-2</v>
      </c>
      <c r="P9" s="75">
        <f t="shared" ref="P9" si="34">P8/P5</f>
        <v>9.0315263360246062E-2</v>
      </c>
      <c r="Q9" s="75">
        <f t="shared" ref="Q9:R9" si="35">Q8/Q5</f>
        <v>1.9650561749754367E-2</v>
      </c>
      <c r="R9" s="75">
        <f t="shared" si="35"/>
        <v>9.4748770365932433E-2</v>
      </c>
      <c r="S9" s="75">
        <f t="shared" ref="S9" si="36">S8/S5</f>
        <v>0.17854671280276815</v>
      </c>
      <c r="T9" s="20">
        <f t="shared" si="28"/>
        <v>0.15148366273689109</v>
      </c>
      <c r="U9" s="9"/>
    </row>
    <row r="10" spans="1:25" ht="20.25" customHeight="1" thickBot="1" x14ac:dyDescent="0.3">
      <c r="A10" s="3"/>
      <c r="B10" s="22"/>
      <c r="C10" s="23"/>
      <c r="D10" s="23"/>
      <c r="E10" s="23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7"/>
    </row>
    <row r="11" spans="1:25" ht="20.25" customHeight="1" thickBot="1" x14ac:dyDescent="0.3">
      <c r="A11" s="3"/>
      <c r="B11" s="65"/>
      <c r="C11" s="66" t="s">
        <v>25</v>
      </c>
      <c r="D11" s="66"/>
      <c r="E11" s="6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7"/>
    </row>
    <row r="12" spans="1:25" ht="16.5" customHeight="1" x14ac:dyDescent="0.25">
      <c r="B12" s="24">
        <v>10</v>
      </c>
      <c r="C12" s="52" t="s">
        <v>35</v>
      </c>
      <c r="D12" s="78">
        <v>1</v>
      </c>
      <c r="E12" s="78">
        <v>1</v>
      </c>
      <c r="F12" s="78">
        <v>30</v>
      </c>
      <c r="G12" s="78" t="s">
        <v>53</v>
      </c>
      <c r="H12" s="78" t="s">
        <v>53</v>
      </c>
      <c r="I12" s="78">
        <v>1</v>
      </c>
      <c r="J12" s="78">
        <v>3</v>
      </c>
      <c r="K12" s="78">
        <v>6</v>
      </c>
      <c r="L12" s="78">
        <v>1</v>
      </c>
      <c r="M12" s="78" t="s">
        <v>53</v>
      </c>
      <c r="N12" s="78" t="s">
        <v>53</v>
      </c>
      <c r="O12" s="78" t="s">
        <v>53</v>
      </c>
      <c r="P12" s="78" t="s">
        <v>53</v>
      </c>
      <c r="Q12" s="79" t="s">
        <v>53</v>
      </c>
      <c r="R12" s="79" t="s">
        <v>53</v>
      </c>
      <c r="S12" s="79">
        <v>240</v>
      </c>
      <c r="T12" s="80">
        <f>SUM(D12:S12)</f>
        <v>283</v>
      </c>
    </row>
    <row r="13" spans="1:25" x14ac:dyDescent="0.25">
      <c r="B13" s="25">
        <v>11</v>
      </c>
      <c r="C13" s="53" t="s">
        <v>9</v>
      </c>
      <c r="D13" s="81">
        <v>2</v>
      </c>
      <c r="E13" s="81"/>
      <c r="F13" s="81">
        <v>1</v>
      </c>
      <c r="G13" s="81">
        <v>2</v>
      </c>
      <c r="H13" s="81" t="s">
        <v>53</v>
      </c>
      <c r="I13" s="81">
        <v>2</v>
      </c>
      <c r="J13" s="81">
        <v>1</v>
      </c>
      <c r="K13" s="81" t="s">
        <v>53</v>
      </c>
      <c r="L13" s="81" t="s">
        <v>53</v>
      </c>
      <c r="M13" s="81" t="s">
        <v>53</v>
      </c>
      <c r="N13" s="81" t="s">
        <v>53</v>
      </c>
      <c r="O13" s="81" t="s">
        <v>53</v>
      </c>
      <c r="P13" s="81" t="s">
        <v>53</v>
      </c>
      <c r="Q13" s="82"/>
      <c r="R13" s="82"/>
      <c r="S13" s="82"/>
      <c r="T13" s="80">
        <f>SUM(D13:S13)</f>
        <v>8</v>
      </c>
      <c r="Y13" s="1" t="s">
        <v>56</v>
      </c>
    </row>
    <row r="14" spans="1:25" x14ac:dyDescent="0.25">
      <c r="B14" s="25">
        <v>12</v>
      </c>
      <c r="C14" s="53" t="s">
        <v>12</v>
      </c>
      <c r="D14" s="81" t="s">
        <v>53</v>
      </c>
      <c r="E14" s="81"/>
      <c r="F14" s="81" t="s">
        <v>53</v>
      </c>
      <c r="G14" s="81" t="s">
        <v>53</v>
      </c>
      <c r="H14" s="81" t="s">
        <v>53</v>
      </c>
      <c r="I14" s="81"/>
      <c r="J14" s="81" t="s">
        <v>53</v>
      </c>
      <c r="K14" s="81" t="s">
        <v>53</v>
      </c>
      <c r="L14" s="118"/>
      <c r="M14" s="118"/>
      <c r="N14" s="119" t="s">
        <v>53</v>
      </c>
      <c r="O14" s="81"/>
      <c r="P14" s="81"/>
      <c r="Q14" s="82"/>
      <c r="R14" s="82"/>
      <c r="S14" s="82"/>
      <c r="T14" s="80">
        <f>SUM(D14:S14)</f>
        <v>0</v>
      </c>
    </row>
    <row r="15" spans="1:25" x14ac:dyDescent="0.25">
      <c r="B15" s="25">
        <v>13</v>
      </c>
      <c r="C15" s="53" t="s">
        <v>36</v>
      </c>
      <c r="D15" s="81">
        <v>9</v>
      </c>
      <c r="E15" s="81"/>
      <c r="F15" s="81">
        <f>18+22</f>
        <v>40</v>
      </c>
      <c r="G15" s="81">
        <v>4</v>
      </c>
      <c r="H15" s="81">
        <v>1</v>
      </c>
      <c r="I15" s="81"/>
      <c r="J15" s="81">
        <v>21</v>
      </c>
      <c r="K15" s="81">
        <v>65</v>
      </c>
      <c r="L15" s="81">
        <v>6</v>
      </c>
      <c r="M15" s="81">
        <v>13</v>
      </c>
      <c r="N15" s="81">
        <v>15</v>
      </c>
      <c r="O15" s="81">
        <v>18</v>
      </c>
      <c r="P15" s="81">
        <v>31</v>
      </c>
      <c r="Q15" s="81">
        <v>4</v>
      </c>
      <c r="R15" s="81">
        <v>25</v>
      </c>
      <c r="S15" s="81"/>
      <c r="T15" s="80">
        <f>SUM(D15:S15)</f>
        <v>252</v>
      </c>
      <c r="U15" s="6">
        <f>SUM(D12:S15)</f>
        <v>543</v>
      </c>
    </row>
    <row r="16" spans="1:25" x14ac:dyDescent="0.25">
      <c r="B16" s="25"/>
      <c r="C16" s="115" t="s">
        <v>62</v>
      </c>
      <c r="D16" s="114">
        <f t="shared" ref="D16:R16" si="37">D15/D5</f>
        <v>1.7408123791102514E-2</v>
      </c>
      <c r="E16" s="114"/>
      <c r="F16" s="114">
        <f t="shared" si="37"/>
        <v>1.2150668286755772E-2</v>
      </c>
      <c r="G16" s="114">
        <f t="shared" si="37"/>
        <v>2.7210884353741496E-2</v>
      </c>
      <c r="H16" s="114">
        <f t="shared" si="37"/>
        <v>5.434782608695652E-3</v>
      </c>
      <c r="I16" s="114"/>
      <c r="J16" s="114">
        <f t="shared" si="37"/>
        <v>9.5454545454545459E-2</v>
      </c>
      <c r="K16" s="114">
        <f t="shared" si="37"/>
        <v>5.6374674761491758E-2</v>
      </c>
      <c r="L16" s="114">
        <f t="shared" si="37"/>
        <v>1.8987341772151899E-2</v>
      </c>
      <c r="M16" s="114">
        <f t="shared" si="37"/>
        <v>6.0185185185185182E-2</v>
      </c>
      <c r="N16" s="114">
        <f t="shared" si="37"/>
        <v>6.2240663900414939E-2</v>
      </c>
      <c r="O16" s="114">
        <f t="shared" si="37"/>
        <v>2.8346456692913385E-2</v>
      </c>
      <c r="P16" s="114">
        <f t="shared" si="37"/>
        <v>6.0784313725490195E-2</v>
      </c>
      <c r="Q16" s="114">
        <f t="shared" si="37"/>
        <v>1.3071895424836602E-2</v>
      </c>
      <c r="R16" s="114">
        <f t="shared" si="37"/>
        <v>3.0750307503075031E-2</v>
      </c>
      <c r="S16" s="114"/>
      <c r="T16" s="116">
        <f>T15/T5</f>
        <v>2.4061873388713836E-2</v>
      </c>
    </row>
    <row r="17" spans="2:22" x14ac:dyDescent="0.25">
      <c r="B17" s="25">
        <v>14</v>
      </c>
      <c r="C17" s="53" t="s">
        <v>37</v>
      </c>
      <c r="D17" s="81" t="s">
        <v>53</v>
      </c>
      <c r="E17" s="81"/>
      <c r="F17" s="81">
        <v>1</v>
      </c>
      <c r="G17" s="81" t="s">
        <v>53</v>
      </c>
      <c r="H17" s="81" t="s">
        <v>53</v>
      </c>
      <c r="I17" s="81"/>
      <c r="J17" s="81">
        <v>1</v>
      </c>
      <c r="K17" s="81">
        <v>5</v>
      </c>
      <c r="L17" s="81"/>
      <c r="M17" s="81"/>
      <c r="N17" s="81" t="s">
        <v>53</v>
      </c>
      <c r="O17" s="81" t="s">
        <v>53</v>
      </c>
      <c r="P17" s="81" t="s">
        <v>53</v>
      </c>
      <c r="Q17" s="82" t="s">
        <v>53</v>
      </c>
      <c r="R17" s="82" t="s">
        <v>53</v>
      </c>
      <c r="S17" s="82" t="s">
        <v>53</v>
      </c>
      <c r="T17" s="80">
        <f>SUM(D17:S17)</f>
        <v>7</v>
      </c>
    </row>
    <row r="18" spans="2:22" x14ac:dyDescent="0.25">
      <c r="B18" s="25">
        <v>15</v>
      </c>
      <c r="C18" s="53" t="s">
        <v>19</v>
      </c>
      <c r="D18" s="81"/>
      <c r="E18" s="81"/>
      <c r="F18" s="81" t="s">
        <v>53</v>
      </c>
      <c r="G18" s="81" t="s">
        <v>53</v>
      </c>
      <c r="H18" s="81" t="s">
        <v>53</v>
      </c>
      <c r="I18" s="81"/>
      <c r="J18" s="81" t="s">
        <v>53</v>
      </c>
      <c r="K18" s="81" t="s">
        <v>53</v>
      </c>
      <c r="L18" s="81"/>
      <c r="M18" s="81"/>
      <c r="N18" s="81"/>
      <c r="O18" s="81"/>
      <c r="P18" s="81"/>
      <c r="Q18" s="82" t="s">
        <v>54</v>
      </c>
      <c r="R18" s="82" t="s">
        <v>53</v>
      </c>
      <c r="S18" s="82" t="s">
        <v>53</v>
      </c>
      <c r="T18" s="80">
        <f>SUM(D18:S18)</f>
        <v>0</v>
      </c>
    </row>
    <row r="19" spans="2:22" x14ac:dyDescent="0.25">
      <c r="B19" s="25">
        <v>16</v>
      </c>
      <c r="C19" s="53" t="s">
        <v>38</v>
      </c>
      <c r="D19" s="81">
        <v>3</v>
      </c>
      <c r="E19" s="81">
        <v>5</v>
      </c>
      <c r="F19" s="81">
        <v>9</v>
      </c>
      <c r="G19" s="81" t="s">
        <v>53</v>
      </c>
      <c r="H19" s="81" t="s">
        <v>53</v>
      </c>
      <c r="I19" s="81"/>
      <c r="J19" s="81" t="s">
        <v>53</v>
      </c>
      <c r="K19" s="81">
        <v>5</v>
      </c>
      <c r="L19" s="81" t="s">
        <v>53</v>
      </c>
      <c r="M19" s="81">
        <v>1</v>
      </c>
      <c r="N19" s="81" t="s">
        <v>55</v>
      </c>
      <c r="O19" s="81" t="s">
        <v>53</v>
      </c>
      <c r="P19" s="81" t="s">
        <v>53</v>
      </c>
      <c r="Q19" s="82" t="s">
        <v>53</v>
      </c>
      <c r="R19" s="82" t="s">
        <v>53</v>
      </c>
      <c r="S19" s="82" t="s">
        <v>53</v>
      </c>
      <c r="T19" s="80">
        <f>SUM(D19:S19)</f>
        <v>23</v>
      </c>
    </row>
    <row r="20" spans="2:22" x14ac:dyDescent="0.25">
      <c r="B20" s="25">
        <v>17</v>
      </c>
      <c r="C20" s="53" t="s">
        <v>39</v>
      </c>
      <c r="D20" s="81" t="s">
        <v>53</v>
      </c>
      <c r="E20" s="81"/>
      <c r="F20" s="81" t="s">
        <v>53</v>
      </c>
      <c r="G20" s="81" t="s">
        <v>53</v>
      </c>
      <c r="H20" s="81" t="s">
        <v>53</v>
      </c>
      <c r="I20" s="81"/>
      <c r="J20" s="81" t="s">
        <v>53</v>
      </c>
      <c r="K20" s="81" t="s">
        <v>53</v>
      </c>
      <c r="L20" s="81" t="s">
        <v>53</v>
      </c>
      <c r="M20" s="81" t="s">
        <v>53</v>
      </c>
      <c r="N20" s="81" t="s">
        <v>53</v>
      </c>
      <c r="O20" s="81" t="s">
        <v>54</v>
      </c>
      <c r="P20" s="81" t="s">
        <v>53</v>
      </c>
      <c r="Q20" s="82" t="s">
        <v>53</v>
      </c>
      <c r="R20" s="82" t="s">
        <v>53</v>
      </c>
      <c r="S20" s="82">
        <v>6</v>
      </c>
      <c r="T20" s="80">
        <f>SUM(D20:S20)</f>
        <v>6</v>
      </c>
    </row>
    <row r="21" spans="2:22" x14ac:dyDescent="0.25">
      <c r="B21" s="25">
        <v>18</v>
      </c>
      <c r="C21" s="53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2" t="s">
        <v>53</v>
      </c>
      <c r="R21" s="82" t="s">
        <v>53</v>
      </c>
      <c r="S21" s="82" t="s">
        <v>53</v>
      </c>
      <c r="T21" s="80">
        <f>SUM(D21:S21)</f>
        <v>0</v>
      </c>
      <c r="U21" s="1">
        <f>SUM(D17:S21)</f>
        <v>36</v>
      </c>
    </row>
    <row r="22" spans="2:22" x14ac:dyDescent="0.25">
      <c r="B22" s="25">
        <v>19</v>
      </c>
      <c r="C22" s="53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2"/>
      <c r="R22" s="82"/>
      <c r="S22" s="82"/>
      <c r="T22" s="83" t="s">
        <v>53</v>
      </c>
    </row>
    <row r="23" spans="2:22" x14ac:dyDescent="0.25">
      <c r="B23" s="26" t="s">
        <v>0</v>
      </c>
      <c r="C23" s="53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2"/>
      <c r="R23" s="82"/>
      <c r="S23" s="82"/>
      <c r="T23" s="83" t="s">
        <v>53</v>
      </c>
    </row>
    <row r="24" spans="2:22" ht="17.25" thickBot="1" x14ac:dyDescent="0.3">
      <c r="B24" s="27" t="s">
        <v>4</v>
      </c>
      <c r="C24" s="5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5"/>
      <c r="R24" s="85"/>
      <c r="S24" s="85"/>
      <c r="T24" s="86" t="s">
        <v>53</v>
      </c>
      <c r="U24" s="6"/>
      <c r="V24" s="6"/>
    </row>
    <row r="25" spans="2:22" ht="19.5" thickBot="1" x14ac:dyDescent="0.35">
      <c r="B25" s="64"/>
      <c r="C25" s="63" t="s">
        <v>26</v>
      </c>
      <c r="D25" s="111"/>
      <c r="E25" s="111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88"/>
      <c r="S25" s="88"/>
      <c r="T25" s="89"/>
      <c r="U25" s="6" t="s">
        <v>53</v>
      </c>
    </row>
    <row r="26" spans="2:22" ht="16.149999999999999" customHeight="1" x14ac:dyDescent="0.25">
      <c r="B26" s="28">
        <v>20</v>
      </c>
      <c r="C26" s="52" t="s">
        <v>40</v>
      </c>
      <c r="D26" s="105" t="s">
        <v>53</v>
      </c>
      <c r="E26" s="105"/>
      <c r="F26" s="78" t="s">
        <v>53</v>
      </c>
      <c r="G26" s="78" t="s">
        <v>53</v>
      </c>
      <c r="H26" s="78" t="s">
        <v>53</v>
      </c>
      <c r="I26" s="78"/>
      <c r="J26" s="78" t="s">
        <v>53</v>
      </c>
      <c r="K26" s="78" t="s">
        <v>53</v>
      </c>
      <c r="L26" s="78"/>
      <c r="M26" s="78"/>
      <c r="N26" s="78"/>
      <c r="O26" s="78">
        <v>1</v>
      </c>
      <c r="P26" s="78" t="s">
        <v>80</v>
      </c>
      <c r="Q26" s="79" t="s">
        <v>53</v>
      </c>
      <c r="R26" s="79" t="s">
        <v>53</v>
      </c>
      <c r="S26" s="79" t="s">
        <v>53</v>
      </c>
      <c r="T26" s="80">
        <f>SUM(D26:S26)</f>
        <v>1</v>
      </c>
    </row>
    <row r="27" spans="2:22" ht="16.5" customHeight="1" x14ac:dyDescent="0.25">
      <c r="B27" s="29">
        <v>21</v>
      </c>
      <c r="C27" s="53" t="s">
        <v>10</v>
      </c>
      <c r="D27" s="101"/>
      <c r="E27" s="101"/>
      <c r="F27" s="81" t="s">
        <v>53</v>
      </c>
      <c r="G27" s="81" t="s">
        <v>53</v>
      </c>
      <c r="H27" s="81" t="s">
        <v>53</v>
      </c>
      <c r="I27" s="81"/>
      <c r="J27" s="81" t="s">
        <v>53</v>
      </c>
      <c r="K27" s="81" t="s">
        <v>53</v>
      </c>
      <c r="L27" s="81"/>
      <c r="M27" s="81"/>
      <c r="N27" s="81"/>
      <c r="O27" s="81"/>
      <c r="P27" s="81"/>
      <c r="Q27" s="82"/>
      <c r="R27" s="82"/>
      <c r="S27" s="82"/>
      <c r="T27" s="80">
        <f>SUM(D27:S27)</f>
        <v>0</v>
      </c>
    </row>
    <row r="28" spans="2:22" ht="16.5" customHeight="1" x14ac:dyDescent="0.25">
      <c r="B28" s="29">
        <v>22</v>
      </c>
      <c r="C28" s="53" t="s">
        <v>13</v>
      </c>
      <c r="D28" s="106" t="s">
        <v>53</v>
      </c>
      <c r="E28" s="106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2"/>
      <c r="R28" s="82"/>
      <c r="S28" s="82"/>
      <c r="T28" s="80">
        <f>SUM(D28:S28)</f>
        <v>0</v>
      </c>
    </row>
    <row r="29" spans="2:22" x14ac:dyDescent="0.25">
      <c r="B29" s="29">
        <v>23</v>
      </c>
      <c r="C29" s="53" t="s">
        <v>15</v>
      </c>
      <c r="D29" s="101"/>
      <c r="E29" s="10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2"/>
      <c r="R29" s="82"/>
      <c r="S29" s="82"/>
      <c r="T29" s="80">
        <f>SUM(D29:S29)</f>
        <v>0</v>
      </c>
    </row>
    <row r="30" spans="2:22" x14ac:dyDescent="0.25">
      <c r="B30" s="29">
        <v>24</v>
      </c>
      <c r="C30" s="53" t="s">
        <v>18</v>
      </c>
      <c r="D30" s="101"/>
      <c r="E30" s="101"/>
      <c r="F30" s="81" t="s">
        <v>53</v>
      </c>
      <c r="G30" s="81" t="s">
        <v>53</v>
      </c>
      <c r="H30" s="81" t="s">
        <v>53</v>
      </c>
      <c r="I30" s="81"/>
      <c r="J30" s="81" t="s">
        <v>53</v>
      </c>
      <c r="K30" s="81" t="s">
        <v>53</v>
      </c>
      <c r="L30" s="81"/>
      <c r="M30" s="81"/>
      <c r="N30" s="81"/>
      <c r="O30" s="81"/>
      <c r="P30" s="81"/>
      <c r="Q30" s="82"/>
      <c r="R30" s="82"/>
      <c r="S30" s="82"/>
      <c r="T30" s="80">
        <f>SUM(D30:S30)</f>
        <v>0</v>
      </c>
    </row>
    <row r="31" spans="2:22" x14ac:dyDescent="0.25">
      <c r="B31" s="29">
        <v>25</v>
      </c>
      <c r="C31" s="53" t="s">
        <v>20</v>
      </c>
      <c r="D31" s="101"/>
      <c r="E31" s="101"/>
      <c r="F31" s="81" t="s">
        <v>53</v>
      </c>
      <c r="G31" s="81" t="s">
        <v>53</v>
      </c>
      <c r="H31" s="81" t="s">
        <v>53</v>
      </c>
      <c r="I31" s="81"/>
      <c r="J31" s="81" t="s">
        <v>53</v>
      </c>
      <c r="K31" s="81" t="s">
        <v>53</v>
      </c>
      <c r="L31" s="81"/>
      <c r="M31" s="81"/>
      <c r="N31" s="81"/>
      <c r="O31" s="81"/>
      <c r="P31" s="81"/>
      <c r="Q31" s="82"/>
      <c r="R31" s="82"/>
      <c r="S31" s="82"/>
      <c r="T31" s="80">
        <f>SUM(D31:S31)</f>
        <v>0</v>
      </c>
    </row>
    <row r="32" spans="2:22" x14ac:dyDescent="0.25">
      <c r="B32" s="29">
        <v>26</v>
      </c>
      <c r="C32" s="53" t="s">
        <v>41</v>
      </c>
      <c r="D32" s="1">
        <v>4</v>
      </c>
      <c r="F32" s="81">
        <v>15</v>
      </c>
      <c r="G32" s="81" t="s">
        <v>53</v>
      </c>
      <c r="H32" s="81" t="s">
        <v>53</v>
      </c>
      <c r="I32" s="81">
        <v>2</v>
      </c>
      <c r="J32" s="81" t="s">
        <v>53</v>
      </c>
      <c r="K32" s="81" t="s">
        <v>53</v>
      </c>
      <c r="L32" s="81"/>
      <c r="M32" s="81"/>
      <c r="N32" s="81" t="s">
        <v>53</v>
      </c>
      <c r="O32" s="81" t="s">
        <v>53</v>
      </c>
      <c r="P32" s="81" t="s">
        <v>53</v>
      </c>
      <c r="Q32" s="82" t="s">
        <v>53</v>
      </c>
      <c r="R32" s="82" t="s">
        <v>53</v>
      </c>
      <c r="S32" s="82" t="s">
        <v>53</v>
      </c>
      <c r="T32" s="80">
        <f>SUM(D32:S32)</f>
        <v>21</v>
      </c>
    </row>
    <row r="33" spans="2:21" x14ac:dyDescent="0.25">
      <c r="B33" s="29">
        <v>27</v>
      </c>
      <c r="C33" s="55" t="s">
        <v>42</v>
      </c>
      <c r="D33" s="106" t="s">
        <v>53</v>
      </c>
      <c r="E33" s="106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2"/>
      <c r="R33" s="82"/>
      <c r="S33" s="82"/>
      <c r="T33" s="80">
        <f>SUM(D33:S33)</f>
        <v>0</v>
      </c>
    </row>
    <row r="34" spans="2:21" x14ac:dyDescent="0.25">
      <c r="B34" s="29">
        <v>28</v>
      </c>
      <c r="C34" s="53"/>
      <c r="D34" s="101"/>
      <c r="E34" s="10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2"/>
      <c r="R34" s="82"/>
      <c r="S34" s="82"/>
      <c r="T34" s="80" t="s">
        <v>53</v>
      </c>
    </row>
    <row r="35" spans="2:21" x14ac:dyDescent="0.25">
      <c r="B35" s="29">
        <v>29</v>
      </c>
      <c r="C35" s="53"/>
      <c r="D35" s="101"/>
      <c r="E35" s="10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2"/>
      <c r="R35" s="82"/>
      <c r="S35" s="82"/>
      <c r="T35" s="83" t="s">
        <v>53</v>
      </c>
    </row>
    <row r="36" spans="2:21" x14ac:dyDescent="0.25">
      <c r="B36" s="30" t="s">
        <v>1</v>
      </c>
      <c r="C36" s="53"/>
      <c r="D36" s="101"/>
      <c r="E36" s="10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2"/>
      <c r="R36" s="82"/>
      <c r="S36" s="82"/>
      <c r="T36" s="83" t="s">
        <v>53</v>
      </c>
    </row>
    <row r="37" spans="2:21" ht="17.25" thickBot="1" x14ac:dyDescent="0.3">
      <c r="B37" s="31" t="s">
        <v>5</v>
      </c>
      <c r="C37" s="54"/>
      <c r="D37" s="102"/>
      <c r="E37" s="102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5"/>
      <c r="R37" s="85"/>
      <c r="S37" s="85"/>
      <c r="T37" s="86" t="s">
        <v>53</v>
      </c>
      <c r="U37" s="6">
        <f>SUM(D26:S33)</f>
        <v>22</v>
      </c>
    </row>
    <row r="38" spans="2:21" ht="19.5" thickBot="1" x14ac:dyDescent="0.35">
      <c r="B38" s="67"/>
      <c r="C38" s="68" t="s">
        <v>27</v>
      </c>
      <c r="D38" s="112"/>
      <c r="E38" s="112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88"/>
      <c r="S38" s="88"/>
      <c r="T38" s="89"/>
      <c r="U38" s="6"/>
    </row>
    <row r="39" spans="2:21" ht="16.149999999999999" customHeight="1" x14ac:dyDescent="0.25">
      <c r="B39" s="32">
        <v>30</v>
      </c>
      <c r="C39" s="52" t="s">
        <v>43</v>
      </c>
      <c r="D39" s="78">
        <v>2</v>
      </c>
      <c r="E39" s="78"/>
      <c r="F39" s="78">
        <v>7</v>
      </c>
      <c r="G39" s="78">
        <v>1</v>
      </c>
      <c r="H39" s="78" t="s">
        <v>53</v>
      </c>
      <c r="I39" s="78"/>
      <c r="J39" s="78" t="s">
        <v>53</v>
      </c>
      <c r="K39" s="78" t="s">
        <v>53</v>
      </c>
      <c r="L39" s="78" t="s">
        <v>53</v>
      </c>
      <c r="M39" s="78" t="s">
        <v>53</v>
      </c>
      <c r="N39" s="78" t="s">
        <v>53</v>
      </c>
      <c r="O39" s="78" t="s">
        <v>53</v>
      </c>
      <c r="P39" s="78" t="s">
        <v>53</v>
      </c>
      <c r="Q39" s="79" t="s">
        <v>53</v>
      </c>
      <c r="R39" s="79" t="s">
        <v>53</v>
      </c>
      <c r="S39" s="79" t="s">
        <v>53</v>
      </c>
      <c r="T39" s="80">
        <f>SUM(D39:S39)</f>
        <v>10</v>
      </c>
    </row>
    <row r="40" spans="2:21" x14ac:dyDescent="0.25">
      <c r="B40" s="33">
        <v>31</v>
      </c>
      <c r="C40" s="53" t="s">
        <v>44</v>
      </c>
      <c r="D40" s="81">
        <v>14</v>
      </c>
      <c r="E40" s="81"/>
      <c r="F40" s="81">
        <f>42+9</f>
        <v>51</v>
      </c>
      <c r="G40" s="81" t="s">
        <v>53</v>
      </c>
      <c r="H40" s="81" t="s">
        <v>53</v>
      </c>
      <c r="I40" s="81">
        <v>11</v>
      </c>
      <c r="J40" s="81">
        <v>4</v>
      </c>
      <c r="K40" s="81">
        <v>21</v>
      </c>
      <c r="L40" s="81" t="s">
        <v>80</v>
      </c>
      <c r="M40" s="81" t="s">
        <v>53</v>
      </c>
      <c r="N40" s="1">
        <v>1</v>
      </c>
      <c r="O40" s="125" t="s">
        <v>53</v>
      </c>
      <c r="P40" s="1" t="s">
        <v>53</v>
      </c>
      <c r="Q40" s="82" t="s">
        <v>53</v>
      </c>
      <c r="R40" s="82">
        <v>11</v>
      </c>
      <c r="S40" s="82" t="s">
        <v>53</v>
      </c>
      <c r="T40" s="80">
        <f>SUM(D40:S40)</f>
        <v>113</v>
      </c>
    </row>
    <row r="41" spans="2:21" x14ac:dyDescent="0.25">
      <c r="B41" s="33">
        <v>32</v>
      </c>
      <c r="C41" s="53" t="s">
        <v>45</v>
      </c>
      <c r="D41" s="81" t="s">
        <v>53</v>
      </c>
      <c r="E41" s="81"/>
      <c r="F41" s="81">
        <v>1</v>
      </c>
      <c r="G41" s="81" t="s">
        <v>53</v>
      </c>
      <c r="H41" s="81" t="s">
        <v>53</v>
      </c>
      <c r="I41" s="81"/>
      <c r="J41" s="81" t="s">
        <v>53</v>
      </c>
      <c r="K41" s="81" t="s">
        <v>53</v>
      </c>
      <c r="L41" s="81">
        <v>9</v>
      </c>
      <c r="M41" s="81">
        <v>5</v>
      </c>
      <c r="N41" s="81">
        <v>1</v>
      </c>
      <c r="O41" s="81">
        <v>1</v>
      </c>
      <c r="P41" s="81" t="s">
        <v>80</v>
      </c>
      <c r="Q41" s="82" t="s">
        <v>53</v>
      </c>
      <c r="R41" s="82">
        <v>1</v>
      </c>
      <c r="S41" s="82" t="s">
        <v>53</v>
      </c>
      <c r="T41" s="80">
        <f>SUM(D41:S41)</f>
        <v>18</v>
      </c>
    </row>
    <row r="42" spans="2:21" x14ac:dyDescent="0.25">
      <c r="B42" s="33">
        <v>33</v>
      </c>
      <c r="C42" s="53" t="s">
        <v>16</v>
      </c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 t="s">
        <v>53</v>
      </c>
      <c r="O42" s="81"/>
      <c r="P42" s="81"/>
      <c r="Q42" s="82" t="s">
        <v>55</v>
      </c>
      <c r="R42" s="82"/>
      <c r="S42" s="82"/>
      <c r="T42" s="80">
        <f>SUM(D42:S42)</f>
        <v>0</v>
      </c>
    </row>
    <row r="43" spans="2:21" x14ac:dyDescent="0.25">
      <c r="B43" s="33">
        <v>34</v>
      </c>
      <c r="C43" s="53" t="s">
        <v>46</v>
      </c>
      <c r="D43" s="81"/>
      <c r="E43" s="81"/>
      <c r="F43" s="81">
        <f>37+18</f>
        <v>55</v>
      </c>
      <c r="G43" s="81">
        <v>3</v>
      </c>
      <c r="H43" s="81">
        <v>2</v>
      </c>
      <c r="I43" s="81">
        <v>5</v>
      </c>
      <c r="J43" s="81">
        <v>14</v>
      </c>
      <c r="K43" s="81">
        <v>75</v>
      </c>
      <c r="L43" s="81" t="s">
        <v>53</v>
      </c>
      <c r="M43" s="81"/>
      <c r="N43" s="81" t="s">
        <v>53</v>
      </c>
      <c r="O43" s="81" t="s">
        <v>53</v>
      </c>
      <c r="P43" s="81" t="s">
        <v>53</v>
      </c>
      <c r="Q43" s="82" t="s">
        <v>58</v>
      </c>
      <c r="R43" s="82" t="s">
        <v>53</v>
      </c>
      <c r="S43" s="82" t="s">
        <v>53</v>
      </c>
      <c r="T43" s="80">
        <f>SUM(D43:S43)</f>
        <v>154</v>
      </c>
    </row>
    <row r="44" spans="2:21" x14ac:dyDescent="0.25">
      <c r="B44" s="33">
        <v>35</v>
      </c>
      <c r="C44" s="53" t="s">
        <v>47</v>
      </c>
      <c r="D44" s="81" t="s">
        <v>53</v>
      </c>
      <c r="E44" s="81"/>
      <c r="F44" s="81" t="s">
        <v>53</v>
      </c>
      <c r="G44" s="81" t="s">
        <v>53</v>
      </c>
      <c r="H44" s="81" t="s">
        <v>53</v>
      </c>
      <c r="I44" s="81"/>
      <c r="J44" s="81" t="s">
        <v>53</v>
      </c>
      <c r="K44" s="81" t="s">
        <v>53</v>
      </c>
      <c r="L44" s="81">
        <v>26</v>
      </c>
      <c r="M44" s="81">
        <v>8</v>
      </c>
      <c r="N44" s="81">
        <v>19</v>
      </c>
      <c r="O44" s="81">
        <v>28</v>
      </c>
      <c r="P44" s="81" t="s">
        <v>80</v>
      </c>
      <c r="Q44" s="82" t="s">
        <v>53</v>
      </c>
      <c r="R44" s="82" t="s">
        <v>53</v>
      </c>
      <c r="S44" s="82" t="s">
        <v>53</v>
      </c>
      <c r="T44" s="80">
        <f>SUM(D44:S44)</f>
        <v>81</v>
      </c>
    </row>
    <row r="45" spans="2:21" x14ac:dyDescent="0.25">
      <c r="B45" s="33">
        <v>36</v>
      </c>
      <c r="C45" s="53" t="s">
        <v>21</v>
      </c>
      <c r="D45" s="81" t="s">
        <v>53</v>
      </c>
      <c r="E45" s="81"/>
      <c r="F45" s="81" t="s">
        <v>53</v>
      </c>
      <c r="G45" s="81" t="s">
        <v>53</v>
      </c>
      <c r="H45" s="81" t="s">
        <v>53</v>
      </c>
      <c r="I45" s="81"/>
      <c r="J45" s="81" t="s">
        <v>53</v>
      </c>
      <c r="K45" s="81" t="s">
        <v>53</v>
      </c>
      <c r="L45" s="81">
        <v>17</v>
      </c>
      <c r="M45" s="81">
        <v>18</v>
      </c>
      <c r="N45" s="81" t="s">
        <v>53</v>
      </c>
      <c r="O45" s="81" t="s">
        <v>53</v>
      </c>
      <c r="P45" s="81" t="s">
        <v>53</v>
      </c>
      <c r="Q45" s="82"/>
      <c r="R45" s="82"/>
      <c r="S45" s="82"/>
      <c r="T45" s="80">
        <f>SUM(D45:S45)</f>
        <v>35</v>
      </c>
    </row>
    <row r="46" spans="2:21" x14ac:dyDescent="0.25">
      <c r="B46" s="33">
        <v>37</v>
      </c>
      <c r="C46" s="53" t="s">
        <v>22</v>
      </c>
      <c r="D46" s="81"/>
      <c r="E46" s="81"/>
      <c r="F46" s="81"/>
      <c r="G46" s="81"/>
      <c r="H46" s="81"/>
      <c r="I46" s="81"/>
      <c r="J46" s="81"/>
      <c r="K46" s="81"/>
      <c r="L46" s="81" t="s">
        <v>53</v>
      </c>
      <c r="M46" s="81" t="s">
        <v>53</v>
      </c>
      <c r="N46" s="81" t="s">
        <v>53</v>
      </c>
      <c r="O46" s="81"/>
      <c r="P46" s="81"/>
      <c r="Q46" s="82" t="s">
        <v>53</v>
      </c>
      <c r="R46" s="82">
        <v>21</v>
      </c>
      <c r="S46" s="82"/>
      <c r="T46" s="80">
        <f>SUM(D46:S46)</f>
        <v>21</v>
      </c>
    </row>
    <row r="47" spans="2:21" x14ac:dyDescent="0.25">
      <c r="B47" s="33">
        <v>38</v>
      </c>
      <c r="C47" s="53" t="s">
        <v>23</v>
      </c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2"/>
      <c r="R47" s="82"/>
      <c r="S47" s="82"/>
      <c r="T47" s="80">
        <f>SUM(D47:S47)</f>
        <v>0</v>
      </c>
    </row>
    <row r="48" spans="2:21" x14ac:dyDescent="0.25">
      <c r="B48" s="33">
        <v>39</v>
      </c>
      <c r="C48" s="53" t="s">
        <v>65</v>
      </c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 t="s">
        <v>53</v>
      </c>
      <c r="O48" s="81"/>
      <c r="P48" s="81"/>
      <c r="Q48" s="82" t="s">
        <v>53</v>
      </c>
      <c r="R48" s="82">
        <v>5</v>
      </c>
      <c r="S48" s="82"/>
      <c r="T48" s="80">
        <f>SUM(D48:S48)</f>
        <v>5</v>
      </c>
    </row>
    <row r="49" spans="2:21" x14ac:dyDescent="0.25">
      <c r="B49" s="34" t="s">
        <v>2</v>
      </c>
      <c r="C49" s="53" t="s">
        <v>48</v>
      </c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 t="s">
        <v>54</v>
      </c>
      <c r="O49" s="81" t="s">
        <v>59</v>
      </c>
      <c r="P49" s="81" t="s">
        <v>53</v>
      </c>
      <c r="Q49" s="82" t="s">
        <v>54</v>
      </c>
      <c r="R49" s="82" t="s">
        <v>53</v>
      </c>
      <c r="S49" s="82" t="s">
        <v>53</v>
      </c>
      <c r="T49" s="80">
        <f>SUM(D49:S49)</f>
        <v>0</v>
      </c>
    </row>
    <row r="50" spans="2:21" ht="17.25" thickBot="1" x14ac:dyDescent="0.3">
      <c r="B50" s="35" t="s">
        <v>6</v>
      </c>
      <c r="C50" s="56" t="s">
        <v>49</v>
      </c>
      <c r="D50" s="117" t="s">
        <v>53</v>
      </c>
      <c r="E50" s="117"/>
      <c r="F50" s="90" t="s">
        <v>53</v>
      </c>
      <c r="G50" s="90"/>
      <c r="H50" s="90"/>
      <c r="I50" s="90"/>
      <c r="J50" s="90"/>
      <c r="K50" s="90"/>
      <c r="L50" s="90"/>
      <c r="M50" s="90"/>
      <c r="N50" s="90"/>
      <c r="O50" s="91" t="s">
        <v>53</v>
      </c>
      <c r="P50" s="91" t="s">
        <v>53</v>
      </c>
      <c r="Q50" s="90"/>
      <c r="R50" s="90"/>
      <c r="S50" s="90"/>
      <c r="T50" s="80">
        <f>SUM(D50:S50)</f>
        <v>0</v>
      </c>
      <c r="U50" s="6">
        <f>SUM(D38:S50)</f>
        <v>437</v>
      </c>
    </row>
    <row r="51" spans="2:21" ht="19.5" thickBot="1" x14ac:dyDescent="0.35">
      <c r="B51" s="70"/>
      <c r="C51" s="69" t="s">
        <v>50</v>
      </c>
      <c r="D51" s="113"/>
      <c r="E51" s="113"/>
      <c r="F51" s="92"/>
      <c r="G51" s="92"/>
      <c r="H51" s="92"/>
      <c r="I51" s="92"/>
      <c r="J51" s="92"/>
      <c r="K51" s="92"/>
      <c r="L51" s="92"/>
      <c r="M51" s="92"/>
      <c r="N51" s="92"/>
      <c r="O51" s="93"/>
      <c r="P51" s="93"/>
      <c r="Q51" s="92"/>
      <c r="R51" s="92"/>
      <c r="S51" s="92"/>
      <c r="T51" s="89"/>
      <c r="U51" s="6"/>
    </row>
    <row r="52" spans="2:21" ht="16.149999999999999" customHeight="1" x14ac:dyDescent="0.25">
      <c r="B52" s="36">
        <v>40</v>
      </c>
      <c r="C52" s="57" t="s">
        <v>8</v>
      </c>
      <c r="D52" s="107" t="s">
        <v>60</v>
      </c>
      <c r="E52" s="107"/>
      <c r="F52" s="94"/>
      <c r="G52" s="94"/>
      <c r="H52" s="94" t="s">
        <v>53</v>
      </c>
      <c r="I52" s="94"/>
      <c r="J52" s="94"/>
      <c r="K52" s="94"/>
      <c r="L52" s="94"/>
      <c r="M52" s="94"/>
      <c r="N52" s="94"/>
      <c r="O52" s="94" t="s">
        <v>53</v>
      </c>
      <c r="P52" s="94" t="s">
        <v>53</v>
      </c>
      <c r="Q52" s="95" t="s">
        <v>53</v>
      </c>
      <c r="R52" s="95" t="s">
        <v>53</v>
      </c>
      <c r="S52" s="95">
        <v>12</v>
      </c>
      <c r="T52" s="80">
        <f t="shared" ref="T52:T58" si="38">SUM(D52:S52)</f>
        <v>12</v>
      </c>
    </row>
    <row r="53" spans="2:21" x14ac:dyDescent="0.25">
      <c r="B53" s="37">
        <v>41</v>
      </c>
      <c r="C53" s="58" t="s">
        <v>11</v>
      </c>
      <c r="D53" s="96">
        <v>4</v>
      </c>
      <c r="E53" s="96"/>
      <c r="F53" s="96">
        <f>79+25</f>
        <v>104</v>
      </c>
      <c r="G53" s="96">
        <v>10</v>
      </c>
      <c r="H53" s="96">
        <v>3</v>
      </c>
      <c r="I53" s="96">
        <v>19</v>
      </c>
      <c r="J53" s="96">
        <v>7</v>
      </c>
      <c r="K53" s="96">
        <v>73</v>
      </c>
      <c r="L53" s="96">
        <v>1</v>
      </c>
      <c r="M53" s="96">
        <v>1</v>
      </c>
      <c r="N53" s="96" t="s">
        <v>53</v>
      </c>
      <c r="O53" s="96">
        <v>3</v>
      </c>
      <c r="P53" s="96">
        <v>1</v>
      </c>
      <c r="Q53" s="97">
        <v>2</v>
      </c>
      <c r="R53" s="97">
        <v>13</v>
      </c>
      <c r="S53" s="97" t="s">
        <v>53</v>
      </c>
      <c r="T53" s="80">
        <f t="shared" si="38"/>
        <v>241</v>
      </c>
    </row>
    <row r="54" spans="2:21" x14ac:dyDescent="0.25">
      <c r="B54" s="37">
        <v>42</v>
      </c>
      <c r="C54" s="59" t="s">
        <v>14</v>
      </c>
      <c r="D54" s="96">
        <v>5</v>
      </c>
      <c r="E54" s="96"/>
      <c r="F54" s="96">
        <f>158+27</f>
        <v>185</v>
      </c>
      <c r="G54" s="96">
        <v>3</v>
      </c>
      <c r="H54" s="96">
        <v>2</v>
      </c>
      <c r="I54" s="96">
        <v>15</v>
      </c>
      <c r="J54" s="96">
        <v>2</v>
      </c>
      <c r="K54" s="96">
        <v>32</v>
      </c>
      <c r="L54" s="96">
        <v>11</v>
      </c>
      <c r="M54" s="96">
        <v>17</v>
      </c>
      <c r="N54" s="96">
        <v>1</v>
      </c>
      <c r="O54" s="96">
        <v>7</v>
      </c>
      <c r="P54" s="96">
        <v>14</v>
      </c>
      <c r="Q54" s="1" t="s">
        <v>53</v>
      </c>
      <c r="R54" s="119" t="s">
        <v>53</v>
      </c>
      <c r="S54" s="1" t="s">
        <v>80</v>
      </c>
      <c r="T54" s="80">
        <f t="shared" si="38"/>
        <v>294</v>
      </c>
    </row>
    <row r="55" spans="2:21" x14ac:dyDescent="0.25">
      <c r="B55" s="37">
        <v>43</v>
      </c>
      <c r="C55" s="58" t="s">
        <v>17</v>
      </c>
      <c r="D55" s="96" t="s">
        <v>53</v>
      </c>
      <c r="E55" s="96"/>
      <c r="F55" s="96" t="s">
        <v>57</v>
      </c>
      <c r="G55" s="96" t="s">
        <v>53</v>
      </c>
      <c r="H55" s="96" t="s">
        <v>53</v>
      </c>
      <c r="I55" s="96"/>
      <c r="J55" s="96" t="s">
        <v>53</v>
      </c>
      <c r="K55" s="96" t="s">
        <v>53</v>
      </c>
      <c r="L55" s="96"/>
      <c r="M55" s="96"/>
      <c r="N55" s="96"/>
      <c r="O55" s="96"/>
      <c r="P55" s="96"/>
      <c r="Q55" s="97" t="s">
        <v>53</v>
      </c>
      <c r="R55" s="97">
        <v>1</v>
      </c>
      <c r="S55" s="97" t="s">
        <v>53</v>
      </c>
      <c r="T55" s="80">
        <f t="shared" si="38"/>
        <v>1</v>
      </c>
    </row>
    <row r="56" spans="2:21" x14ac:dyDescent="0.25">
      <c r="B56" s="37">
        <v>44</v>
      </c>
      <c r="C56" s="60" t="s">
        <v>51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7"/>
      <c r="R56" s="97"/>
      <c r="S56" s="97"/>
      <c r="T56" s="80">
        <f t="shared" si="38"/>
        <v>0</v>
      </c>
    </row>
    <row r="57" spans="2:21" x14ac:dyDescent="0.25">
      <c r="B57" s="37">
        <v>45</v>
      </c>
      <c r="C57" s="58" t="s">
        <v>52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7"/>
      <c r="R57" s="97"/>
      <c r="S57" s="97"/>
      <c r="T57" s="80">
        <f t="shared" si="38"/>
        <v>0</v>
      </c>
    </row>
    <row r="58" spans="2:21" x14ac:dyDescent="0.25">
      <c r="B58" s="37">
        <v>46</v>
      </c>
      <c r="C58" s="58" t="s">
        <v>61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7"/>
      <c r="R58" s="97"/>
      <c r="S58" s="97"/>
      <c r="T58" s="80">
        <f t="shared" si="38"/>
        <v>0</v>
      </c>
    </row>
    <row r="59" spans="2:21" x14ac:dyDescent="0.25">
      <c r="B59" s="37">
        <v>47</v>
      </c>
      <c r="C59" s="61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7"/>
      <c r="R59" s="97"/>
      <c r="S59" s="97"/>
      <c r="T59" s="96" t="s">
        <v>53</v>
      </c>
    </row>
    <row r="60" spans="2:21" x14ac:dyDescent="0.25">
      <c r="B60" s="37">
        <v>48</v>
      </c>
      <c r="C60" s="61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7"/>
      <c r="R60" s="97"/>
      <c r="S60" s="97"/>
      <c r="T60" s="96" t="s">
        <v>53</v>
      </c>
    </row>
    <row r="61" spans="2:21" x14ac:dyDescent="0.25">
      <c r="B61" s="37">
        <v>49</v>
      </c>
      <c r="C61" s="61"/>
      <c r="D61" s="103"/>
      <c r="E61" s="103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7"/>
      <c r="R61" s="97"/>
      <c r="S61" s="97"/>
      <c r="T61" s="96" t="s">
        <v>53</v>
      </c>
    </row>
    <row r="62" spans="2:21" x14ac:dyDescent="0.25">
      <c r="B62" s="38" t="s">
        <v>3</v>
      </c>
      <c r="C62" s="61"/>
      <c r="D62" s="103"/>
      <c r="E62" s="103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7"/>
      <c r="R62" s="97"/>
      <c r="S62" s="97"/>
      <c r="T62" s="96" t="s">
        <v>53</v>
      </c>
    </row>
    <row r="63" spans="2:21" ht="17.25" thickBot="1" x14ac:dyDescent="0.3">
      <c r="B63" s="39" t="s">
        <v>7</v>
      </c>
      <c r="C63" s="62"/>
      <c r="D63" s="104"/>
      <c r="E63" s="104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9"/>
      <c r="R63" s="99"/>
      <c r="S63" s="99"/>
      <c r="T63" s="98" t="s">
        <v>53</v>
      </c>
      <c r="U63" s="6">
        <f>SUM(D51:S58)</f>
        <v>548</v>
      </c>
    </row>
    <row r="64" spans="2:21" x14ac:dyDescent="0.25">
      <c r="D64" s="6">
        <f t="shared" ref="D64:Q64" si="39">SUM(D12:D63)</f>
        <v>44.0174081237911</v>
      </c>
      <c r="E64" s="6">
        <f t="shared" si="39"/>
        <v>6</v>
      </c>
      <c r="F64" s="6">
        <f t="shared" si="39"/>
        <v>499.01215066828672</v>
      </c>
      <c r="G64" s="6">
        <f t="shared" ref="G64:J64" si="40">SUM(G12:G63)</f>
        <v>23.027210884353742</v>
      </c>
      <c r="H64" s="6">
        <f t="shared" ref="H64" si="41">SUM(H12:H63)</f>
        <v>8.0054347826086953</v>
      </c>
      <c r="I64" s="6">
        <f t="shared" si="40"/>
        <v>55</v>
      </c>
      <c r="J64" s="6">
        <f t="shared" si="40"/>
        <v>53.095454545454544</v>
      </c>
      <c r="K64" s="6">
        <f t="shared" ref="K64" si="42">SUM(K12:K63)</f>
        <v>282.05637467476151</v>
      </c>
      <c r="L64" s="6">
        <f t="shared" si="39"/>
        <v>71.018987341772146</v>
      </c>
      <c r="M64" s="6">
        <f t="shared" ref="M64" si="43">SUM(M12:M63)</f>
        <v>63.060185185185183</v>
      </c>
      <c r="N64" s="6">
        <f t="shared" si="39"/>
        <v>37.062240663900411</v>
      </c>
      <c r="O64" s="6">
        <f t="shared" si="39"/>
        <v>58.028346456692915</v>
      </c>
      <c r="P64" s="6">
        <f t="shared" ref="P64" si="44">SUM(P12:P63)</f>
        <v>46.060784313725492</v>
      </c>
      <c r="Q64" s="6">
        <f t="shared" si="39"/>
        <v>6.0130718954248366</v>
      </c>
      <c r="R64" s="6">
        <f t="shared" ref="R64:S64" si="45">SUM(R12:R63)</f>
        <v>77.03075030750307</v>
      </c>
      <c r="S64" s="6">
        <f t="shared" si="45"/>
        <v>258</v>
      </c>
      <c r="T64" s="80">
        <f>SUM(D64:S64)</f>
        <v>1586.4883998434605</v>
      </c>
      <c r="U64" s="6">
        <f>SUM(U12:U63)</f>
        <v>1586</v>
      </c>
    </row>
    <row r="65" spans="3:21" x14ac:dyDescent="0.25">
      <c r="U65" s="6"/>
    </row>
    <row r="75" spans="3:21" x14ac:dyDescent="0.25">
      <c r="C75" s="71"/>
      <c r="D75" s="71"/>
      <c r="E75" s="71"/>
    </row>
  </sheetData>
  <mergeCells count="1">
    <mergeCell ref="F10:T10"/>
  </mergeCells>
  <phoneticPr fontId="2" type="noConversion"/>
  <pageMargins left="0" right="0" top="0.74803149606299213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0"/>
  <sheetViews>
    <sheetView workbookViewId="0">
      <selection activeCell="F31" sqref="F31"/>
    </sheetView>
  </sheetViews>
  <sheetFormatPr defaultRowHeight="16.5" x14ac:dyDescent="0.25"/>
  <cols>
    <col min="9" max="9" width="14.5" customWidth="1"/>
  </cols>
  <sheetData>
    <row r="1" spans="3:11" ht="19.5" x14ac:dyDescent="0.25">
      <c r="C1" s="8"/>
      <c r="F1" s="7"/>
      <c r="I1" s="10"/>
    </row>
    <row r="2" spans="3:11" x14ac:dyDescent="0.25">
      <c r="F2" s="7"/>
      <c r="G2" s="10"/>
      <c r="H2" s="10"/>
    </row>
    <row r="3" spans="3:11" x14ac:dyDescent="0.25">
      <c r="G3" s="11"/>
      <c r="H3" s="11"/>
    </row>
    <row r="4" spans="3:11" x14ac:dyDescent="0.25">
      <c r="G4" s="10"/>
      <c r="H4" s="10"/>
    </row>
    <row r="5" spans="3:11" x14ac:dyDescent="0.25">
      <c r="G5" s="12"/>
      <c r="H5" s="12"/>
    </row>
    <row r="6" spans="3:11" x14ac:dyDescent="0.25">
      <c r="J6" s="13"/>
      <c r="K6" s="14"/>
    </row>
    <row r="7" spans="3:11" x14ac:dyDescent="0.25">
      <c r="J7" s="15"/>
      <c r="K7" s="16"/>
    </row>
    <row r="8" spans="3:11" x14ac:dyDescent="0.25">
      <c r="J8" s="7"/>
      <c r="K8" s="14"/>
    </row>
    <row r="9" spans="3:11" x14ac:dyDescent="0.25">
      <c r="J9" s="10"/>
      <c r="K9" s="14"/>
    </row>
    <row r="10" spans="3:11" x14ac:dyDescent="0.25">
      <c r="J10" s="11"/>
      <c r="K10" s="14"/>
    </row>
    <row r="18" spans="2:2" x14ac:dyDescent="0.25">
      <c r="B18" s="1"/>
    </row>
    <row r="20" spans="2:2" x14ac:dyDescent="0.25">
      <c r="B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無限+檢修故障一覽表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win10user</dc:creator>
  <cp:lastModifiedBy>技術課</cp:lastModifiedBy>
  <cp:lastPrinted>2024-10-11T02:07:10Z</cp:lastPrinted>
  <dcterms:created xsi:type="dcterms:W3CDTF">2024-07-22T00:33:28Z</dcterms:created>
  <dcterms:modified xsi:type="dcterms:W3CDTF">2026-09-02T09:04:03Z</dcterms:modified>
</cp:coreProperties>
</file>